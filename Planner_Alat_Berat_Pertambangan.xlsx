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1_COVER" sheetId="1" state="visible" r:id="rId1"/>
    <sheet xmlns:r="http://schemas.openxmlformats.org/officeDocument/2006/relationships" name="02_ASUMSI" sheetId="2" state="visible" r:id="rId2"/>
    <sheet xmlns:r="http://schemas.openxmlformats.org/officeDocument/2006/relationships" name="03_FLEET" sheetId="3" state="visible" r:id="rId3"/>
    <sheet xmlns:r="http://schemas.openxmlformats.org/officeDocument/2006/relationships" name="04_PRODUKTIVITAS" sheetId="4" state="visible" r:id="rId4"/>
    <sheet xmlns:r="http://schemas.openxmlformats.org/officeDocument/2006/relationships" name="05_MATCH_FACTOR" sheetId="5" state="visible" r:id="rId5"/>
    <sheet xmlns:r="http://schemas.openxmlformats.org/officeDocument/2006/relationships" name="06_KEBUTUHAN" sheetId="6" state="visible" r:id="rId6"/>
    <sheet xmlns:r="http://schemas.openxmlformats.org/officeDocument/2006/relationships" name="07_PM_PLANNER" sheetId="7" state="visible" r:id="rId7"/>
    <sheet xmlns:r="http://schemas.openxmlformats.org/officeDocument/2006/relationships" name="08_DASHBOARD" sheetId="8" state="visible" r:id="rId8"/>
  </sheets>
  <definedNames>
    <definedName name="_xlnm._FilterDatabase" localSheetId="0" hidden="1">'01_COVER'!$B$27:$H$41</definedName>
    <definedName name="_xlnm.Print_Titles" localSheetId="1">'02_ASUMSI'!$1:$4</definedName>
    <definedName name="_xlnm._FilterDatabase" localSheetId="2" hidden="1">'03_FLEET'!$A$5:$M$27</definedName>
    <definedName name="_xlnm.Print_Titles" localSheetId="2">'03_FLEET'!$1:$5</definedName>
    <definedName name="_xlnm.Print_Titles" localSheetId="3">'04_PRODUKTIVITAS'!$1:$3</definedName>
    <definedName name="_xlnm.Print_Titles" localSheetId="4">'05_MATCH_FACTOR'!$1:$3</definedName>
    <definedName name="_xlnm.Print_Titles" localSheetId="5">'06_KEBUTUHAN'!$1:$5</definedName>
    <definedName name="_xlnm._FilterDatabase" localSheetId="6" hidden="1">'07_PM_PLANNER'!$A$5:$L$27</definedName>
    <definedName name="_xlnm.Print_Titles" localSheetId="6">'07_PM_PLANNER'!$1:$6</definedName>
    <definedName name="_xlnm.Print_Titles" localSheetId="7">'08_DASHBOARD'!$1:$3</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 mmmm\ yyyy"/>
    <numFmt numFmtId="165" formatCode="0.0"/>
    <numFmt numFmtId="166" formatCode="0.0%"/>
    <numFmt numFmtId="167" formatCode="#,##0.0"/>
    <numFmt numFmtId="168" formatCode="&quot;Rp &quot;#,##0"/>
  </numFmts>
  <fonts count="23">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22"/>
    </font>
    <font>
      <name val="Calibri"/>
      <charset val="1"/>
      <family val="0"/>
      <i val="1"/>
      <color rgb="FFC9A227"/>
      <sz val="11"/>
    </font>
    <font>
      <name val="Calibri"/>
      <charset val="1"/>
      <family val="0"/>
      <color rgb="FFFFFFFF"/>
      <sz val="10"/>
    </font>
    <font>
      <name val="Calibri"/>
      <charset val="1"/>
      <family val="0"/>
      <b val="1"/>
      <color rgb="FFFFFFFF"/>
      <sz val="10"/>
    </font>
    <font>
      <name val="Calibri"/>
      <charset val="1"/>
      <family val="0"/>
      <b val="1"/>
      <color rgb="FF0F2740"/>
      <sz val="10"/>
    </font>
    <font>
      <name val="Calibri"/>
      <charset val="1"/>
      <family val="0"/>
      <b val="1"/>
      <color rgb="FF0033CC"/>
      <sz val="10"/>
    </font>
    <font>
      <name val="Calibri"/>
      <charset val="1"/>
      <family val="0"/>
      <color rgb="FF1F2937"/>
      <sz val="9"/>
    </font>
    <font>
      <name val="Calibri"/>
      <charset val="1"/>
      <family val="0"/>
      <color rgb="FF1F2937"/>
      <sz val="10"/>
    </font>
    <font>
      <name val="Calibri"/>
      <charset val="1"/>
      <family val="0"/>
      <i val="1"/>
      <color rgb="FF374151"/>
      <sz val="8"/>
    </font>
    <font>
      <name val="Calibri"/>
      <charset val="1"/>
      <family val="0"/>
      <i val="1"/>
      <color rgb="FFC9A227"/>
      <sz val="9"/>
    </font>
    <font>
      <name val="Calibri"/>
      <charset val="1"/>
      <family val="0"/>
      <i val="1"/>
      <color rgb="FF6B7280"/>
      <sz val="8"/>
    </font>
    <font>
      <name val="Calibri"/>
      <charset val="1"/>
      <family val="0"/>
      <color rgb="FF111827"/>
      <sz val="10"/>
    </font>
    <font>
      <name val="Calibri"/>
      <charset val="1"/>
      <family val="0"/>
      <color rgb="FF1F2937"/>
      <sz val="8"/>
    </font>
    <font>
      <name val="Calibri"/>
      <charset val="1"/>
      <family val="0"/>
      <color rgb="FFFFFFFF"/>
      <sz val="9"/>
    </font>
    <font>
      <name val="Calibri"/>
      <charset val="1"/>
      <family val="0"/>
      <i val="1"/>
      <color rgb="FF374151"/>
      <sz val="9"/>
    </font>
    <font>
      <name val="Calibri"/>
      <charset val="1"/>
      <family val="0"/>
      <color rgb="FFC9A227"/>
      <sz val="10"/>
    </font>
    <font>
      <name val="Calibri"/>
      <charset val="1"/>
      <family val="0"/>
      <b val="1"/>
      <color rgb="FF1B3A4B"/>
      <sz val="14"/>
    </font>
    <font>
      <name val="Calibri"/>
      <charset val="1"/>
      <family val="0"/>
      <i val="1"/>
      <color rgb="FF4B5563"/>
      <sz val="8"/>
    </font>
    <font>
      <name val="Calibri"/>
      <i val="1"/>
      <color rgb="000B2E4A"/>
      <sz val="9"/>
    </font>
  </fonts>
  <fills count="16">
    <fill>
      <patternFill/>
    </fill>
    <fill>
      <patternFill patternType="gray125"/>
    </fill>
    <fill>
      <patternFill patternType="solid">
        <fgColor rgb="FF0F2740"/>
        <bgColor rgb="FF1F2937"/>
      </patternFill>
    </fill>
    <fill>
      <patternFill patternType="solid">
        <fgColor rgb="FF1B3A4B"/>
        <bgColor rgb="FF1F2937"/>
      </patternFill>
    </fill>
    <fill>
      <patternFill patternType="solid">
        <fgColor rgb="FF1A6B5C"/>
        <bgColor rgb="FF008080"/>
      </patternFill>
    </fill>
    <fill>
      <patternFill patternType="solid">
        <fgColor rgb="FFFFF3CD"/>
        <bgColor rgb="FFFEF3C7"/>
      </patternFill>
    </fill>
    <fill>
      <patternFill patternType="solid">
        <fgColor rgb="FFF8E9B8"/>
        <bgColor rgb="FFFEF3C7"/>
      </patternFill>
    </fill>
    <fill>
      <patternFill patternType="solid">
        <fgColor rgb="FF2C5282"/>
        <bgColor rgb="FF4B5563"/>
      </patternFill>
    </fill>
    <fill>
      <patternFill patternType="solid">
        <fgColor rgb="FFD5EDE6"/>
        <bgColor rgb="FFDBEAFE"/>
      </patternFill>
    </fill>
    <fill>
      <patternFill patternType="solid">
        <fgColor rgb="FFFFFFFF"/>
        <bgColor rgb="FFEEF3F6"/>
      </patternFill>
    </fill>
    <fill>
      <patternFill patternType="solid">
        <fgColor rgb="FFEEF3F6"/>
        <bgColor rgb="FFE3F0FA"/>
      </patternFill>
    </fill>
    <fill>
      <patternFill patternType="solid">
        <fgColor rgb="FFF7F1E3"/>
        <bgColor rgb="FFEEF3F6"/>
      </patternFill>
    </fill>
    <fill>
      <patternFill patternType="solid">
        <fgColor rgb="FFD1FAE5"/>
        <bgColor rgb="FFD5EDE6"/>
      </patternFill>
    </fill>
    <fill>
      <patternFill patternType="solid">
        <fgColor rgb="FFFEE2E2"/>
        <bgColor rgb="FFF7F1E3"/>
      </patternFill>
    </fill>
    <fill>
      <patternFill patternType="solid">
        <fgColor rgb="FFE3F0FA"/>
        <bgColor rgb="FFDBEAFE"/>
      </patternFill>
    </fill>
    <fill>
      <patternFill patternType="solid">
        <fgColor rgb="FFFEF3C7"/>
        <bgColor rgb="FFFFF3CD"/>
      </patternFill>
    </fill>
  </fills>
  <borders count="12">
    <border>
      <left/>
      <right/>
      <top/>
      <bottom/>
      <diagonal/>
    </border>
    <border>
      <left style="thin">
        <color rgb="FFC5CDD3"/>
      </left>
      <right style="thin">
        <color rgb="FFC5CDD3"/>
      </right>
      <top style="thin">
        <color rgb="FFC5CDD3"/>
      </top>
      <bottom style="thin">
        <color rgb="FFC5CDD3"/>
      </bottom>
      <diagonal/>
    </border>
    <border>
      <left style="thin">
        <color rgb="FFC5CDD3"/>
      </left>
      <right/>
      <top style="thin">
        <color rgb="FFC5CDD3"/>
      </top>
      <bottom style="thin">
        <color rgb="FFC5CDD3"/>
      </bottom>
      <diagonal/>
    </border>
    <border>
      <left/>
      <right/>
      <top style="thin">
        <color rgb="FFC5CDD3"/>
      </top>
      <bottom/>
      <diagonal/>
    </border>
    <border>
      <left/>
      <right style="thin">
        <color rgb="FFC5CDD3"/>
      </right>
      <top style="thin">
        <color rgb="FFC5CDD3"/>
      </top>
      <bottom/>
      <diagonal/>
    </border>
    <border>
      <left/>
      <right/>
      <top style="thin">
        <color rgb="FFC5CDD3"/>
      </top>
      <bottom style="thin">
        <color rgb="FFC5CDD3"/>
      </bottom>
      <diagonal/>
    </border>
    <border>
      <left/>
      <right style="thin">
        <color rgb="FFC5CDD3"/>
      </right>
      <top style="thin">
        <color rgb="FFC5CDD3"/>
      </top>
      <bottom style="thin">
        <color rgb="FFC5CDD3"/>
      </bottom>
      <diagonal/>
    </border>
    <border>
      <left style="thin">
        <color rgb="FFC5CDD3"/>
      </left>
      <right/>
      <top/>
      <bottom/>
      <diagonal/>
    </border>
    <border>
      <left/>
      <right style="thin">
        <color rgb="FFC5CDD3"/>
      </right>
      <top/>
      <bottom/>
      <diagonal/>
    </border>
    <border>
      <left style="thin">
        <color rgb="FFC5CDD3"/>
      </left>
      <right/>
      <top/>
      <bottom style="thin">
        <color rgb="FFC5CDD3"/>
      </bottom>
      <diagonal/>
    </border>
    <border>
      <left/>
      <right/>
      <top/>
      <bottom style="thin">
        <color rgb="FFC5CDD3"/>
      </bottom>
      <diagonal/>
    </border>
    <border>
      <left/>
      <right style="thin">
        <color rgb="FFC5CDD3"/>
      </right>
      <top/>
      <bottom style="thin">
        <color rgb="FFC5CDD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3" borderId="0" applyAlignment="1" pivotButton="0" quotePrefix="0" xfId="0">
      <alignment horizontal="left" vertical="center" wrapText="1"/>
    </xf>
    <xf numFmtId="0" fontId="8" fillId="0"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6" borderId="1" applyAlignment="1" pivotButton="0" quotePrefix="0" xfId="0">
      <alignment horizontal="left" vertical="top" wrapText="1"/>
    </xf>
    <xf numFmtId="164" fontId="9" fillId="5" borderId="1" applyAlignment="1" pivotButton="0" quotePrefix="0" xfId="0">
      <alignment horizontal="left" vertical="center" wrapText="1"/>
    </xf>
    <xf numFmtId="0" fontId="7" fillId="7" borderId="1" applyAlignment="1" pivotButton="0" quotePrefix="0" xfId="0">
      <alignment horizontal="center" vertical="center" wrapText="1"/>
    </xf>
    <xf numFmtId="0" fontId="7" fillId="7" borderId="1" applyAlignment="1" pivotButton="0" quotePrefix="0" xfId="0">
      <alignment horizontal="general" vertical="bottom"/>
    </xf>
    <xf numFmtId="0" fontId="8" fillId="8" borderId="1" applyAlignment="1" pivotButton="0" quotePrefix="0" xfId="0">
      <alignment horizontal="general" vertical="bottom"/>
    </xf>
    <xf numFmtId="0" fontId="11" fillId="8" borderId="1" applyAlignment="1" pivotButton="0" quotePrefix="0" xfId="0">
      <alignment horizontal="left" vertical="center" wrapText="1"/>
    </xf>
    <xf numFmtId="0" fontId="8" fillId="9" borderId="1" applyAlignment="1" pivotButton="0" quotePrefix="0" xfId="0">
      <alignment horizontal="general" vertical="bottom"/>
    </xf>
    <xf numFmtId="0" fontId="11" fillId="9" borderId="1" applyAlignment="1" pivotButton="0" quotePrefix="0" xfId="0">
      <alignment horizontal="left" vertical="center" wrapText="1"/>
    </xf>
    <xf numFmtId="0" fontId="8" fillId="10" borderId="1" applyAlignment="1" pivotButton="0" quotePrefix="0" xfId="0">
      <alignment horizontal="general" vertical="bottom"/>
    </xf>
    <xf numFmtId="0" fontId="11" fillId="10" borderId="1" applyAlignment="1" pivotButton="0" quotePrefix="0" xfId="0">
      <alignment horizontal="left" vertical="center" wrapText="1"/>
    </xf>
    <xf numFmtId="0" fontId="12" fillId="11" borderId="1" applyAlignment="1" pivotButton="0" quotePrefix="0" xfId="0">
      <alignment horizontal="general" vertical="top" wrapText="1"/>
    </xf>
    <xf numFmtId="0" fontId="13" fillId="3" borderId="0" applyAlignment="1" pivotButton="0" quotePrefix="0" xfId="0">
      <alignment horizontal="center" vertical="center" wrapText="1"/>
    </xf>
    <xf numFmtId="0" fontId="7" fillId="4" borderId="0" applyAlignment="1" pivotButton="0" quotePrefix="0" xfId="0">
      <alignment horizontal="left" vertical="center" wrapText="1"/>
    </xf>
    <xf numFmtId="0" fontId="11" fillId="0" borderId="1" applyAlignment="1" pivotButton="0" quotePrefix="0" xfId="0">
      <alignment horizontal="left" vertical="center" wrapText="1"/>
    </xf>
    <xf numFmtId="165" fontId="9" fillId="5"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2" fontId="9" fillId="5" borderId="1" applyAlignment="1" pivotButton="0" quotePrefix="0" xfId="0">
      <alignment horizontal="center" vertical="center" wrapText="1"/>
    </xf>
    <xf numFmtId="0" fontId="11" fillId="10" borderId="1" applyAlignment="1" pivotButton="0" quotePrefix="0" xfId="0">
      <alignment horizontal="center" vertical="center" wrapText="1"/>
    </xf>
    <xf numFmtId="0" fontId="14" fillId="10" borderId="1" applyAlignment="1" pivotButton="0" quotePrefix="0" xfId="0">
      <alignment horizontal="left" vertical="center" wrapText="1"/>
    </xf>
    <xf numFmtId="166" fontId="9" fillId="5" borderId="1" applyAlignment="1" pivotButton="0" quotePrefix="0" xfId="0">
      <alignment horizontal="center" vertical="center" wrapText="1"/>
    </xf>
    <xf numFmtId="0" fontId="8" fillId="8" borderId="1" applyAlignment="1" pivotButton="0" quotePrefix="0" xfId="0">
      <alignment horizontal="left" vertical="center" wrapText="1"/>
    </xf>
    <xf numFmtId="2" fontId="15"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applyAlignment="1" pivotButton="0" quotePrefix="0" xfId="0">
      <alignment horizontal="left" vertical="center" wrapText="1"/>
    </xf>
    <xf numFmtId="0" fontId="8" fillId="6" borderId="1" applyAlignment="1" pivotButton="0" quotePrefix="0" xfId="0">
      <alignment horizontal="left" vertical="center" wrapText="1"/>
    </xf>
    <xf numFmtId="167" fontId="15"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5" borderId="1" applyAlignment="1" pivotButton="0" quotePrefix="0" xfId="0">
      <alignment horizontal="center" vertical="center" wrapText="1"/>
    </xf>
    <xf numFmtId="4" fontId="9" fillId="5" borderId="1" applyAlignment="1" pivotButton="0" quotePrefix="0" xfId="0">
      <alignment horizontal="center" vertical="center" wrapText="1"/>
    </xf>
    <xf numFmtId="0" fontId="16" fillId="11" borderId="1" applyAlignment="1" pivotButton="0" quotePrefix="0" xfId="0">
      <alignment horizontal="general" vertical="top" wrapText="1"/>
    </xf>
    <xf numFmtId="3" fontId="9" fillId="5" borderId="1" applyAlignment="1" pivotButton="0" quotePrefix="0" xfId="0">
      <alignment horizontal="center" vertical="center" wrapText="1"/>
    </xf>
    <xf numFmtId="0" fontId="8" fillId="6" borderId="1" applyAlignment="1" pivotButton="0" quotePrefix="0" xfId="0">
      <alignment horizontal="general" vertical="bottom"/>
    </xf>
    <xf numFmtId="2" fontId="15" fillId="6" borderId="1" applyAlignment="1" pivotButton="0" quotePrefix="0" xfId="0">
      <alignment horizontal="center" vertical="center" wrapText="1"/>
    </xf>
    <xf numFmtId="0" fontId="0" fillId="6" borderId="1" applyAlignment="1" pivotButton="0" quotePrefix="0" xfId="0">
      <alignment horizontal="general" vertical="bottom"/>
    </xf>
    <xf numFmtId="0" fontId="17" fillId="4" borderId="0" applyAlignment="1" pivotButton="0" quotePrefix="0" xfId="0">
      <alignment horizontal="center" vertical="center" wrapText="1"/>
    </xf>
    <xf numFmtId="2" fontId="11" fillId="0" borderId="1" applyAlignment="1" pivotButton="0" quotePrefix="0" xfId="0">
      <alignment horizontal="center" vertical="center" wrapText="1"/>
    </xf>
    <xf numFmtId="2" fontId="11" fillId="10" borderId="1" applyAlignment="1" pivotButton="0" quotePrefix="0" xfId="0">
      <alignment horizontal="center" vertical="center" wrapText="1"/>
    </xf>
    <xf numFmtId="0" fontId="7" fillId="3" borderId="0" applyAlignment="1" pivotButton="0" quotePrefix="0" xfId="0">
      <alignment horizontal="center" vertical="center" wrapText="1"/>
    </xf>
    <xf numFmtId="0" fontId="8" fillId="0" borderId="2" applyAlignment="1" pivotButton="0" quotePrefix="0" xfId="0">
      <alignment horizontal="left" vertical="center" wrapText="1"/>
    </xf>
    <xf numFmtId="1" fontId="15" fillId="0" borderId="1" applyAlignment="1" pivotButton="0" quotePrefix="0" xfId="0">
      <alignment horizontal="center" vertical="center" wrapText="1"/>
    </xf>
    <xf numFmtId="3" fontId="15" fillId="0" borderId="1" applyAlignment="1" pivotButton="0" quotePrefix="0" xfId="0">
      <alignment horizontal="center" vertical="center" wrapText="1"/>
    </xf>
    <xf numFmtId="0" fontId="18" fillId="11" borderId="1" applyAlignment="1" pivotButton="0" quotePrefix="0" xfId="0">
      <alignment horizontal="general" vertical="top" wrapText="1"/>
    </xf>
    <xf numFmtId="1" fontId="15" fillId="12" borderId="1" applyAlignment="1" pivotButton="0" quotePrefix="0" xfId="0">
      <alignment horizontal="center" vertical="center" wrapText="1"/>
    </xf>
    <xf numFmtId="1" fontId="15" fillId="13" borderId="1" applyAlignment="1" pivotButton="0" quotePrefix="0" xfId="0">
      <alignment horizontal="center" vertical="center" wrapText="1"/>
    </xf>
    <xf numFmtId="166" fontId="15" fillId="0" borderId="1" applyAlignment="1" pivotButton="0" quotePrefix="0" xfId="0">
      <alignment horizontal="center" vertical="center" wrapText="1"/>
    </xf>
    <xf numFmtId="2" fontId="15" fillId="0" borderId="1" applyAlignment="1" pivotButton="0" quotePrefix="0" xfId="0">
      <alignment horizontal="center" vertical="center" wrapText="1"/>
    </xf>
    <xf numFmtId="0" fontId="8" fillId="8" borderId="1" applyAlignment="1" pivotButton="0" quotePrefix="0" xfId="0">
      <alignment horizontal="center" vertical="center" wrapText="1"/>
    </xf>
    <xf numFmtId="167" fontId="15" fillId="8" borderId="1" applyAlignment="1" pivotButton="0" quotePrefix="0" xfId="0">
      <alignment horizontal="center" vertical="center" wrapText="1"/>
    </xf>
    <xf numFmtId="0" fontId="15" fillId="8" borderId="1" applyAlignment="1" pivotButton="0" quotePrefix="0" xfId="0">
      <alignment horizontal="center" vertical="center" wrapText="1"/>
    </xf>
    <xf numFmtId="0" fontId="15" fillId="8" borderId="1" applyAlignment="1" pivotButton="0" quotePrefix="0" xfId="0">
      <alignment horizontal="left" vertical="center" wrapText="1"/>
    </xf>
    <xf numFmtId="0" fontId="8" fillId="6" borderId="1" applyAlignment="1" pivotButton="0" quotePrefix="0" xfId="0">
      <alignment horizontal="center" vertical="center" wrapText="1"/>
    </xf>
    <xf numFmtId="3" fontId="15" fillId="6" borderId="1" applyAlignment="1" pivotButton="0" quotePrefix="0" xfId="0">
      <alignment horizontal="center" vertical="center" wrapText="1"/>
    </xf>
    <xf numFmtId="0" fontId="0" fillId="8" borderId="0" applyAlignment="1" pivotButton="0" quotePrefix="0" xfId="0">
      <alignment horizontal="general" vertical="bottom"/>
    </xf>
    <xf numFmtId="0" fontId="11" fillId="8" borderId="1" applyAlignment="1" pivotButton="0" quotePrefix="0" xfId="0">
      <alignment horizontal="center" vertical="center" wrapText="1"/>
    </xf>
    <xf numFmtId="0" fontId="14" fillId="8" borderId="1" applyAlignment="1" pivotButton="0" quotePrefix="0" xfId="0">
      <alignment horizontal="left" vertical="center" wrapText="1"/>
    </xf>
    <xf numFmtId="0" fontId="0" fillId="6" borderId="0" applyAlignment="1" pivotButton="0" quotePrefix="0" xfId="0">
      <alignment horizontal="general" vertical="bottom"/>
    </xf>
    <xf numFmtId="0" fontId="11" fillId="6" borderId="1" applyAlignment="1" pivotButton="0" quotePrefix="0" xfId="0">
      <alignment horizontal="center" vertical="center" wrapText="1"/>
    </xf>
    <xf numFmtId="0" fontId="14" fillId="6" borderId="1" applyAlignment="1" pivotButton="0" quotePrefix="0" xfId="0">
      <alignment horizontal="left" vertical="center" wrapText="1"/>
    </xf>
    <xf numFmtId="1" fontId="9" fillId="5" borderId="1" applyAlignment="1" pivotButton="0" quotePrefix="0" xfId="0">
      <alignment horizontal="center" vertical="center" wrapText="1"/>
    </xf>
    <xf numFmtId="0" fontId="15"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general" vertical="bottom"/>
    </xf>
    <xf numFmtId="0" fontId="0" fillId="6" borderId="1" applyAlignment="1" pivotButton="0" quotePrefix="0" xfId="0">
      <alignment horizontal="general" vertical="bottom"/>
    </xf>
    <xf numFmtId="0" fontId="15" fillId="0" borderId="1" applyAlignment="1" pivotButton="0" quotePrefix="0" xfId="0">
      <alignment horizontal="center" vertical="center" wrapText="1"/>
    </xf>
    <xf numFmtId="0" fontId="10" fillId="11" borderId="1" applyAlignment="1" pivotButton="0" quotePrefix="0" xfId="0">
      <alignment horizontal="general" vertical="top" wrapText="1"/>
    </xf>
    <xf numFmtId="4" fontId="15" fillId="0" borderId="1" applyAlignment="1" pivotButton="0" quotePrefix="0" xfId="0">
      <alignment horizontal="center" vertical="center" wrapText="1"/>
    </xf>
    <xf numFmtId="3" fontId="15" fillId="5" borderId="1" applyAlignment="1" pivotButton="0" quotePrefix="0" xfId="0">
      <alignment horizontal="center" vertical="center" wrapText="1"/>
    </xf>
    <xf numFmtId="0" fontId="14" fillId="0" borderId="0" applyAlignment="1" pivotButton="0" quotePrefix="0" xfId="0">
      <alignment horizontal="left" vertical="center" wrapText="1"/>
    </xf>
    <xf numFmtId="0" fontId="8" fillId="0" borderId="1" applyAlignment="1" pivotButton="0" quotePrefix="0" xfId="0">
      <alignment horizontal="general" vertical="bottom"/>
    </xf>
    <xf numFmtId="0" fontId="14" fillId="14" borderId="1" applyAlignment="1" pivotButton="0" quotePrefix="0" xfId="0">
      <alignment horizontal="left" vertical="center" wrapText="1"/>
    </xf>
    <xf numFmtId="165" fontId="15" fillId="0" borderId="1" applyAlignment="1" pivotButton="0" quotePrefix="0" xfId="0">
      <alignment horizontal="center" vertical="center" wrapText="1"/>
    </xf>
    <xf numFmtId="168" fontId="15" fillId="0" borderId="1" applyAlignment="1" pivotButton="0" quotePrefix="0" xfId="0">
      <alignment horizontal="center" vertical="center" wrapText="1"/>
    </xf>
    <xf numFmtId="165" fontId="8" fillId="6" borderId="1" applyAlignment="1" pivotButton="0" quotePrefix="0" xfId="0">
      <alignment horizontal="center" vertical="center" wrapText="1"/>
    </xf>
    <xf numFmtId="2" fontId="8" fillId="6" borderId="1" applyAlignment="1" pivotButton="0" quotePrefix="0" xfId="0">
      <alignment horizontal="center" vertical="center" wrapText="1"/>
    </xf>
    <xf numFmtId="3" fontId="8" fillId="6" borderId="1" applyAlignment="1" pivotButton="0" quotePrefix="0" xfId="0">
      <alignment horizontal="center" vertical="center" wrapText="1"/>
    </xf>
    <xf numFmtId="168" fontId="8" fillId="6" borderId="1" applyAlignment="1" pivotButton="0" quotePrefix="0" xfId="0">
      <alignment horizontal="center" vertical="center" wrapText="1"/>
    </xf>
    <xf numFmtId="0" fontId="8" fillId="0" borderId="2" applyAlignment="1" pivotButton="0" quotePrefix="0" xfId="0">
      <alignment horizontal="general" vertical="bottom"/>
    </xf>
    <xf numFmtId="1" fontId="15" fillId="15" borderId="1" applyAlignment="1" pivotButton="0" quotePrefix="0" xfId="0">
      <alignment horizontal="center" vertical="center" wrapText="1"/>
    </xf>
    <xf numFmtId="0" fontId="19" fillId="3" borderId="0" applyAlignment="1" pivotButton="0" quotePrefix="0" xfId="0">
      <alignment horizontal="center" vertical="center" wrapText="1"/>
    </xf>
    <xf numFmtId="0" fontId="7" fillId="3" borderId="1" applyAlignment="1" pivotButton="0" quotePrefix="0" xfId="0">
      <alignment horizontal="center" vertical="center" wrapText="1"/>
    </xf>
    <xf numFmtId="3" fontId="20" fillId="6" borderId="1" applyAlignment="1" pivotButton="0" quotePrefix="0" xfId="0">
      <alignment horizontal="center" vertical="center" wrapText="1"/>
    </xf>
    <xf numFmtId="0" fontId="14" fillId="11" borderId="1" applyAlignment="1" pivotButton="0" quotePrefix="0" xfId="0">
      <alignment horizontal="center" vertical="center" wrapText="1"/>
    </xf>
    <xf numFmtId="2" fontId="20" fillId="6" borderId="1" applyAlignment="1" pivotButton="0" quotePrefix="0" xfId="0">
      <alignment horizontal="center" vertical="center" wrapText="1"/>
    </xf>
    <xf numFmtId="166" fontId="20" fillId="6" borderId="1" applyAlignment="1" pivotButton="0" quotePrefix="0" xfId="0">
      <alignment horizontal="center" vertical="center" wrapText="1"/>
    </xf>
    <xf numFmtId="0" fontId="8" fillId="14" borderId="1" applyAlignment="1" pivotButton="0" quotePrefix="0" xfId="0">
      <alignment horizontal="center" vertical="center" wrapText="1"/>
    </xf>
    <xf numFmtId="0" fontId="21"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3" borderId="0" applyAlignment="1" pivotButton="0" quotePrefix="0" xfId="0">
      <alignment horizontal="left" vertical="center" wrapText="1"/>
    </xf>
    <xf numFmtId="0" fontId="8" fillId="0" borderId="1" applyAlignment="1" pivotButton="0" quotePrefix="0" xfId="0">
      <alignment horizontal="left" vertical="center" wrapText="1"/>
    </xf>
    <xf numFmtId="0" fontId="9" fillId="5" borderId="1" applyAlignment="1" pivotButton="0" quotePrefix="0" xfId="0">
      <alignment horizontal="left" vertical="center" wrapText="1"/>
    </xf>
    <xf numFmtId="0" fontId="0" fillId="0" borderId="5" pivotButton="0" quotePrefix="0" xfId="0"/>
    <xf numFmtId="0" fontId="0" fillId="0" borderId="6" pivotButton="0" quotePrefix="0" xfId="0"/>
    <xf numFmtId="0" fontId="10" fillId="6" borderId="1" applyAlignment="1" pivotButton="0" quotePrefix="0" xfId="0">
      <alignment horizontal="lef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164" fontId="9" fillId="5" borderId="1" applyAlignment="1" pivotButton="0" quotePrefix="0" xfId="0">
      <alignment horizontal="left" vertical="center" wrapText="1"/>
    </xf>
    <xf numFmtId="0" fontId="0" fillId="0" borderId="9" pivotButton="0" quotePrefix="0" xfId="0"/>
    <xf numFmtId="0" fontId="0" fillId="0" borderId="10" pivotButton="0" quotePrefix="0" xfId="0"/>
    <xf numFmtId="0" fontId="0" fillId="0" borderId="11" pivotButton="0" quotePrefix="0" xfId="0"/>
    <xf numFmtId="0" fontId="7" fillId="7" borderId="1" applyAlignment="1" pivotButton="0" quotePrefix="0" xfId="0">
      <alignment horizontal="center" vertical="center" wrapText="1"/>
    </xf>
    <xf numFmtId="0" fontId="7" fillId="7" borderId="1" applyAlignment="1" pivotButton="0" quotePrefix="0" xfId="0">
      <alignment horizontal="general" vertical="bottom"/>
    </xf>
    <xf numFmtId="0" fontId="8" fillId="8" borderId="1" applyAlignment="1" pivotButton="0" quotePrefix="0" xfId="0">
      <alignment horizontal="general" vertical="bottom"/>
    </xf>
    <xf numFmtId="0" fontId="11" fillId="8" borderId="1" applyAlignment="1" pivotButton="0" quotePrefix="0" xfId="0">
      <alignment horizontal="left" vertical="center" wrapText="1"/>
    </xf>
    <xf numFmtId="0" fontId="8" fillId="9" borderId="1" applyAlignment="1" pivotButton="0" quotePrefix="0" xfId="0">
      <alignment horizontal="general" vertical="bottom"/>
    </xf>
    <xf numFmtId="0" fontId="11" fillId="9" borderId="1" applyAlignment="1" pivotButton="0" quotePrefix="0" xfId="0">
      <alignment horizontal="left" vertical="center" wrapText="1"/>
    </xf>
    <xf numFmtId="0" fontId="8" fillId="10" borderId="1" applyAlignment="1" pivotButton="0" quotePrefix="0" xfId="0">
      <alignment horizontal="general" vertical="bottom"/>
    </xf>
    <xf numFmtId="0" fontId="11" fillId="10" borderId="1" applyAlignment="1" pivotButton="0" quotePrefix="0" xfId="0">
      <alignment horizontal="left" vertical="center" wrapText="1"/>
    </xf>
    <xf numFmtId="0" fontId="12" fillId="11" borderId="1" applyAlignment="1" pivotButton="0" quotePrefix="0" xfId="0">
      <alignment horizontal="general" vertical="top" wrapText="1"/>
    </xf>
    <xf numFmtId="0" fontId="22" fillId="0" borderId="0" applyAlignment="1" pivotButton="0" quotePrefix="0" xfId="0">
      <alignment wrapText="1"/>
    </xf>
    <xf numFmtId="0" fontId="13" fillId="3" borderId="0" applyAlignment="1" pivotButton="0" quotePrefix="0" xfId="0">
      <alignment horizontal="center" vertical="center" wrapText="1"/>
    </xf>
    <xf numFmtId="0" fontId="7" fillId="4" borderId="0" applyAlignment="1" pivotButton="0" quotePrefix="0" xfId="0">
      <alignment horizontal="left" vertical="center" wrapText="1"/>
    </xf>
    <xf numFmtId="0" fontId="11" fillId="0" borderId="1" applyAlignment="1" pivotButton="0" quotePrefix="0" xfId="0">
      <alignment horizontal="left" vertical="center" wrapText="1"/>
    </xf>
    <xf numFmtId="165" fontId="9" fillId="5"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2" fontId="9" fillId="5" borderId="1" applyAlignment="1" pivotButton="0" quotePrefix="0" xfId="0">
      <alignment horizontal="center" vertical="center" wrapText="1"/>
    </xf>
    <xf numFmtId="0" fontId="11" fillId="10" borderId="1" applyAlignment="1" pivotButton="0" quotePrefix="0" xfId="0">
      <alignment horizontal="center" vertical="center" wrapText="1"/>
    </xf>
    <xf numFmtId="0" fontId="14" fillId="10" borderId="1" applyAlignment="1" pivotButton="0" quotePrefix="0" xfId="0">
      <alignment horizontal="left" vertical="center" wrapText="1"/>
    </xf>
    <xf numFmtId="166" fontId="9" fillId="5" borderId="1" applyAlignment="1" pivotButton="0" quotePrefix="0" xfId="0">
      <alignment horizontal="center" vertical="center" wrapText="1"/>
    </xf>
    <xf numFmtId="0" fontId="8" fillId="8" borderId="1" applyAlignment="1" pivotButton="0" quotePrefix="0" xfId="0">
      <alignment horizontal="left" vertical="center" wrapText="1"/>
    </xf>
    <xf numFmtId="2" fontId="15"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applyAlignment="1" pivotButton="0" quotePrefix="0" xfId="0">
      <alignment horizontal="left" vertical="center" wrapText="1"/>
    </xf>
    <xf numFmtId="0" fontId="8" fillId="6" borderId="1" applyAlignment="1" pivotButton="0" quotePrefix="0" xfId="0">
      <alignment horizontal="left" vertical="center" wrapText="1"/>
    </xf>
    <xf numFmtId="167" fontId="15"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5" borderId="1" applyAlignment="1" pivotButton="0" quotePrefix="0" xfId="0">
      <alignment horizontal="center" vertical="center" wrapText="1"/>
    </xf>
    <xf numFmtId="4" fontId="9" fillId="5" borderId="1" applyAlignment="1" pivotButton="0" quotePrefix="0" xfId="0">
      <alignment horizontal="center" vertical="center" wrapText="1"/>
    </xf>
    <xf numFmtId="0" fontId="16" fillId="11" borderId="1" applyAlignment="1" pivotButton="0" quotePrefix="0" xfId="0">
      <alignment horizontal="general" vertical="top" wrapText="1"/>
    </xf>
    <xf numFmtId="3" fontId="9" fillId="5" borderId="1" applyAlignment="1" pivotButton="0" quotePrefix="0" xfId="0">
      <alignment horizontal="center" vertical="center" wrapText="1"/>
    </xf>
    <xf numFmtId="0" fontId="8" fillId="6" borderId="1" applyAlignment="1" pivotButton="0" quotePrefix="0" xfId="0">
      <alignment horizontal="general" vertical="bottom"/>
    </xf>
    <xf numFmtId="2" fontId="15" fillId="6" borderId="1" applyAlignment="1" pivotButton="0" quotePrefix="0" xfId="0">
      <alignment horizontal="center" vertical="center" wrapText="1"/>
    </xf>
    <xf numFmtId="0" fontId="0" fillId="6" borderId="1" applyAlignment="1" pivotButton="0" quotePrefix="0" xfId="0">
      <alignment horizontal="general" vertical="bottom"/>
    </xf>
    <xf numFmtId="0" fontId="17" fillId="4" borderId="0" applyAlignment="1" pivotButton="0" quotePrefix="0" xfId="0">
      <alignment horizontal="center" vertical="center" wrapText="1"/>
    </xf>
    <xf numFmtId="2" fontId="11" fillId="0" borderId="1" applyAlignment="1" pivotButton="0" quotePrefix="0" xfId="0">
      <alignment horizontal="center" vertical="center" wrapText="1"/>
    </xf>
    <xf numFmtId="2" fontId="11" fillId="10" borderId="1" applyAlignment="1" pivotButton="0" quotePrefix="0" xfId="0">
      <alignment horizontal="center" vertical="center" wrapText="1"/>
    </xf>
    <xf numFmtId="0" fontId="7" fillId="3" borderId="0" applyAlignment="1" pivotButton="0" quotePrefix="0" xfId="0">
      <alignment horizontal="center" vertical="center" wrapText="1"/>
    </xf>
    <xf numFmtId="0" fontId="8" fillId="0" borderId="2" applyAlignment="1" pivotButton="0" quotePrefix="0" xfId="0">
      <alignment horizontal="left" vertical="center" wrapText="1"/>
    </xf>
    <xf numFmtId="1" fontId="15" fillId="0" borderId="1" applyAlignment="1" pivotButton="0" quotePrefix="0" xfId="0">
      <alignment horizontal="center" vertical="center" wrapText="1"/>
    </xf>
    <xf numFmtId="3" fontId="15" fillId="0" borderId="1" applyAlignment="1" pivotButton="0" quotePrefix="0" xfId="0">
      <alignment horizontal="center" vertical="center" wrapText="1"/>
    </xf>
    <xf numFmtId="0" fontId="18" fillId="11" borderId="1" applyAlignment="1" pivotButton="0" quotePrefix="0" xfId="0">
      <alignment horizontal="general" vertical="top" wrapText="1"/>
    </xf>
    <xf numFmtId="1" fontId="15" fillId="12" borderId="1" applyAlignment="1" pivotButton="0" quotePrefix="0" xfId="0">
      <alignment horizontal="center" vertical="center" wrapText="1"/>
    </xf>
    <xf numFmtId="1" fontId="15" fillId="13" borderId="1" applyAlignment="1" pivotButton="0" quotePrefix="0" xfId="0">
      <alignment horizontal="center" vertical="center" wrapText="1"/>
    </xf>
    <xf numFmtId="166" fontId="15" fillId="0" borderId="1" applyAlignment="1" pivotButton="0" quotePrefix="0" xfId="0">
      <alignment horizontal="center" vertical="center" wrapText="1"/>
    </xf>
    <xf numFmtId="2" fontId="15" fillId="0" borderId="1" applyAlignment="1" pivotButton="0" quotePrefix="0" xfId="0">
      <alignment horizontal="center" vertical="center" wrapText="1"/>
    </xf>
    <xf numFmtId="0" fontId="8" fillId="8" borderId="1" applyAlignment="1" pivotButton="0" quotePrefix="0" xfId="0">
      <alignment horizontal="center" vertical="center" wrapText="1"/>
    </xf>
    <xf numFmtId="167" fontId="15" fillId="8" borderId="1" applyAlignment="1" pivotButton="0" quotePrefix="0" xfId="0">
      <alignment horizontal="center" vertical="center" wrapText="1"/>
    </xf>
    <xf numFmtId="0" fontId="15" fillId="8" borderId="1" applyAlignment="1" pivotButton="0" quotePrefix="0" xfId="0">
      <alignment horizontal="center" vertical="center" wrapText="1"/>
    </xf>
    <xf numFmtId="0" fontId="15" fillId="8" borderId="1" applyAlignment="1" pivotButton="0" quotePrefix="0" xfId="0">
      <alignment horizontal="left" vertical="center" wrapText="1"/>
    </xf>
    <xf numFmtId="0" fontId="8" fillId="6" borderId="1" applyAlignment="1" pivotButton="0" quotePrefix="0" xfId="0">
      <alignment horizontal="center" vertical="center" wrapText="1"/>
    </xf>
    <xf numFmtId="3" fontId="15" fillId="6" borderId="1" applyAlignment="1" pivotButton="0" quotePrefix="0" xfId="0">
      <alignment horizontal="center" vertical="center" wrapText="1"/>
    </xf>
    <xf numFmtId="0" fontId="0" fillId="8" borderId="0" applyAlignment="1" pivotButton="0" quotePrefix="0" xfId="0">
      <alignment horizontal="general" vertical="bottom"/>
    </xf>
    <xf numFmtId="0" fontId="11" fillId="8" borderId="1" applyAlignment="1" pivotButton="0" quotePrefix="0" xfId="0">
      <alignment horizontal="center" vertical="center" wrapText="1"/>
    </xf>
    <xf numFmtId="0" fontId="14" fillId="8" borderId="1" applyAlignment="1" pivotButton="0" quotePrefix="0" xfId="0">
      <alignment horizontal="left" vertical="center" wrapText="1"/>
    </xf>
    <xf numFmtId="0" fontId="0" fillId="6" borderId="0" applyAlignment="1" pivotButton="0" quotePrefix="0" xfId="0">
      <alignment horizontal="general" vertical="bottom"/>
    </xf>
    <xf numFmtId="0" fontId="11" fillId="6" borderId="1" applyAlignment="1" pivotButton="0" quotePrefix="0" xfId="0">
      <alignment horizontal="center" vertical="center" wrapText="1"/>
    </xf>
    <xf numFmtId="0" fontId="14" fillId="6" borderId="1" applyAlignment="1" pivotButton="0" quotePrefix="0" xfId="0">
      <alignment horizontal="left" vertical="center" wrapText="1"/>
    </xf>
    <xf numFmtId="1" fontId="9" fillId="5" borderId="1" applyAlignment="1" pivotButton="0" quotePrefix="0" xfId="0">
      <alignment horizontal="center" vertical="center" wrapText="1"/>
    </xf>
    <xf numFmtId="0" fontId="15"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general" vertical="bottom"/>
    </xf>
    <xf numFmtId="0" fontId="15" fillId="0" borderId="1" applyAlignment="1" pivotButton="0" quotePrefix="0" xfId="0">
      <alignment horizontal="center" vertical="center" wrapText="1"/>
    </xf>
    <xf numFmtId="0" fontId="10" fillId="11" borderId="1" applyAlignment="1" pivotButton="0" quotePrefix="0" xfId="0">
      <alignment horizontal="general" vertical="top" wrapText="1"/>
    </xf>
    <xf numFmtId="4" fontId="15" fillId="0" borderId="1" applyAlignment="1" pivotButton="0" quotePrefix="0" xfId="0">
      <alignment horizontal="center" vertical="center" wrapText="1"/>
    </xf>
    <xf numFmtId="3" fontId="15" fillId="5" borderId="1" applyAlignment="1" pivotButton="0" quotePrefix="0" xfId="0">
      <alignment horizontal="center" vertical="center" wrapText="1"/>
    </xf>
    <xf numFmtId="0" fontId="14" fillId="0" borderId="0" applyAlignment="1" pivotButton="0" quotePrefix="0" xfId="0">
      <alignment horizontal="left" vertical="center" wrapText="1"/>
    </xf>
    <xf numFmtId="0" fontId="8" fillId="0" borderId="1" applyAlignment="1" pivotButton="0" quotePrefix="0" xfId="0">
      <alignment horizontal="general" vertical="bottom"/>
    </xf>
    <xf numFmtId="0" fontId="14" fillId="14" borderId="1" applyAlignment="1" pivotButton="0" quotePrefix="0" xfId="0">
      <alignment horizontal="left" vertical="center" wrapText="1"/>
    </xf>
    <xf numFmtId="165" fontId="15" fillId="0" borderId="1" applyAlignment="1" pivotButton="0" quotePrefix="0" xfId="0">
      <alignment horizontal="center" vertical="center" wrapText="1"/>
    </xf>
    <xf numFmtId="168" fontId="15" fillId="0" borderId="1" applyAlignment="1" pivotButton="0" quotePrefix="0" xfId="0">
      <alignment horizontal="center" vertical="center" wrapText="1"/>
    </xf>
    <xf numFmtId="165" fontId="8" fillId="6" borderId="1" applyAlignment="1" pivotButton="0" quotePrefix="0" xfId="0">
      <alignment horizontal="center" vertical="center" wrapText="1"/>
    </xf>
    <xf numFmtId="2" fontId="8" fillId="6" borderId="1" applyAlignment="1" pivotButton="0" quotePrefix="0" xfId="0">
      <alignment horizontal="center" vertical="center" wrapText="1"/>
    </xf>
    <xf numFmtId="3" fontId="8" fillId="6" borderId="1" applyAlignment="1" pivotButton="0" quotePrefix="0" xfId="0">
      <alignment horizontal="center" vertical="center" wrapText="1"/>
    </xf>
    <xf numFmtId="168" fontId="8" fillId="6" borderId="1" applyAlignment="1" pivotButton="0" quotePrefix="0" xfId="0">
      <alignment horizontal="center" vertical="center" wrapText="1"/>
    </xf>
    <xf numFmtId="0" fontId="8" fillId="0" borderId="2" applyAlignment="1" pivotButton="0" quotePrefix="0" xfId="0">
      <alignment horizontal="general" vertical="bottom"/>
    </xf>
    <xf numFmtId="1" fontId="15" fillId="15" borderId="1" applyAlignment="1" pivotButton="0" quotePrefix="0" xfId="0">
      <alignment horizontal="center" vertical="center" wrapText="1"/>
    </xf>
    <xf numFmtId="0" fontId="19" fillId="3" borderId="0" applyAlignment="1" pivotButton="0" quotePrefix="0" xfId="0">
      <alignment horizontal="center" vertical="center" wrapText="1"/>
    </xf>
    <xf numFmtId="0" fontId="7" fillId="3" borderId="1" applyAlignment="1" pivotButton="0" quotePrefix="0" xfId="0">
      <alignment horizontal="center" vertical="center" wrapText="1"/>
    </xf>
    <xf numFmtId="3" fontId="20" fillId="6" borderId="1" applyAlignment="1" pivotButton="0" quotePrefix="0" xfId="0">
      <alignment horizontal="center" vertical="center" wrapText="1"/>
    </xf>
    <xf numFmtId="0" fontId="14" fillId="11" borderId="1" applyAlignment="1" pivotButton="0" quotePrefix="0" xfId="0">
      <alignment horizontal="center" vertical="center" wrapText="1"/>
    </xf>
    <xf numFmtId="2" fontId="20" fillId="6" borderId="1" applyAlignment="1" pivotButton="0" quotePrefix="0" xfId="0">
      <alignment horizontal="center" vertical="center" wrapText="1"/>
    </xf>
    <xf numFmtId="166" fontId="20" fillId="6" borderId="1" applyAlignment="1" pivotButton="0" quotePrefix="0" xfId="0">
      <alignment horizontal="center" vertical="center" wrapText="1"/>
    </xf>
    <xf numFmtId="0" fontId="8" fillId="14" borderId="1" applyAlignment="1" pivotButton="0" quotePrefix="0" xfId="0">
      <alignment horizontal="center" vertical="center" wrapText="1"/>
    </xf>
    <xf numFmtId="0" fontId="21"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ill>
        <patternFill patternType="solid">
          <fgColor rgb="FF2C5282"/>
          <bgColor rgb="FF000000"/>
        </patternFill>
      </fill>
    </dxf>
    <dxf>
      <fill>
        <patternFill patternType="solid">
          <fgColor rgb="FFEEF3F6"/>
          <bgColor rgb="FF000000"/>
        </patternFill>
      </fill>
    </dxf>
    <dxf>
      <fill>
        <patternFill patternType="solid">
          <fgColor rgb="FFFFFFFF"/>
          <bgColor rgb="FF000000"/>
        </patternFill>
      </fill>
    </dxf>
    <dxf>
      <fill>
        <patternFill patternType="solid">
          <fgColor rgb="FF0F2740"/>
          <bgColor rgb="FF000000"/>
        </patternFill>
      </fill>
    </dxf>
    <dxf>
      <fill>
        <patternFill patternType="solid">
          <fgColor rgb="FF1B3A4B"/>
          <bgColor rgb="FF000000"/>
        </patternFill>
      </fill>
    </dxf>
    <dxf>
      <fill>
        <patternFill patternType="solid">
          <bgColor rgb="FF000000"/>
        </patternFill>
      </fill>
    </dxf>
    <dxf>
      <fill>
        <patternFill patternType="solid">
          <fgColor rgb="FF1F2937"/>
          <bgColor rgb="FF000000"/>
        </patternFill>
      </fill>
    </dxf>
    <dxf>
      <fill>
        <patternFill patternType="solid">
          <fgColor rgb="FF1A6B5C"/>
          <bgColor rgb="FF000000"/>
        </patternFill>
      </fill>
    </dxf>
    <dxf>
      <fill>
        <patternFill patternType="solid">
          <fgColor rgb="FFD5EDE6"/>
          <bgColor rgb="FF000000"/>
        </patternFill>
      </fill>
    </dxf>
    <dxf>
      <fill>
        <patternFill patternType="solid">
          <fgColor rgb="FFFFF3CD"/>
          <bgColor rgb="FF000000"/>
        </patternFill>
      </fill>
    </dxf>
    <dxf>
      <fill>
        <patternFill patternType="solid">
          <fgColor rgb="FFF8E9B8"/>
          <bgColor rgb="FF000000"/>
        </patternFill>
      </fill>
    </dxf>
    <dxf>
      <fill>
        <patternFill patternType="solid">
          <fgColor rgb="FF0033CC"/>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FEE2E2"/>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EE2E2"/>
        </patternFill>
      </fill>
    </dxf>
    <dxf>
      <fill>
        <patternFill>
          <bgColor rgb="FFDBEAFE"/>
        </patternFill>
      </fill>
    </dxf>
    <dxf>
      <fill>
        <patternFill patternType="solid">
          <fgColor rgb="FF111827"/>
          <bgColor rgb="FF000000"/>
        </patternFill>
      </fill>
    </dxf>
    <dxf>
      <fill>
        <patternFill patternType="solid">
          <fgColor rgb="FF7F1D1D"/>
          <bgColor rgb="FF000000"/>
        </patternFill>
      </fill>
    </dxf>
    <dxf>
      <font>
        <name val="Calibri"/>
        <charset val="1"/>
        <family val="0"/>
        <b val="1"/>
        <color rgb="FF7F1D1D"/>
      </font>
      <fill>
        <patternFill>
          <bgColor rgb="FF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5C"/>
      <rgbColor rgb="FFC5CDD3"/>
      <rgbColor rgb="FF4B5563"/>
      <rgbColor rgb="FF9999FF"/>
      <rgbColor rgb="FF374151"/>
      <rgbColor rgb="FFFFF3CD"/>
      <rgbColor rgb="FFD5EDE6"/>
      <rgbColor rgb="FF660066"/>
      <rgbColor rgb="FFFF8080"/>
      <rgbColor rgb="FF0033CC"/>
      <rgbColor rgb="FFDBEAFE"/>
      <rgbColor rgb="FF000080"/>
      <rgbColor rgb="FFFF00FF"/>
      <rgbColor rgb="FFFFFF00"/>
      <rgbColor rgb="FF00FFFF"/>
      <rgbColor rgb="FF800080"/>
      <rgbColor rgb="FF800000"/>
      <rgbColor rgb="FF008080"/>
      <rgbColor rgb="FF0000FF"/>
      <rgbColor rgb="FF00CCFF"/>
      <rgbColor rgb="FFE3F0FA"/>
      <rgbColor rgb="FFD1FAE5"/>
      <rgbColor rgb="FFFEF3C7"/>
      <rgbColor rgb="FFEEF3F6"/>
      <rgbColor rgb="FFFEE2E2"/>
      <rgbColor rgb="FFF7F1E3"/>
      <rgbColor rgb="FFF8E9B8"/>
      <rgbColor rgb="FF3366FF"/>
      <rgbColor rgb="FF33CCCC"/>
      <rgbColor rgb="FF99CC00"/>
      <rgbColor rgb="FFFFCC00"/>
      <rgbColor rgb="FFC9A227"/>
      <rgbColor rgb="FFFF6600"/>
      <rgbColor rgb="FF6B7280"/>
      <rgbColor rgb="FF969696"/>
      <rgbColor rgb="FF0F2740"/>
      <rgbColor rgb="FF339966"/>
      <rgbColor rgb="FF111827"/>
      <rgbColor rgb="FF1B3A4B"/>
      <rgbColor rgb="FF7F1D1D"/>
      <rgbColor rgb="FF993366"/>
      <rgbColor rgb="FF2C5282"/>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H46"/>
  <sheetViews>
    <sheetView showFormulas="0" showGridLines="0" showRowColHeaders="1" showZeros="1" rightToLeft="0" tabSelected="1"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4" customWidth="1" style="96" min="1" max="1"/>
    <col width="22" customWidth="1" style="96" min="2" max="7"/>
    <col width="18" customWidth="1" style="96" min="8" max="8"/>
  </cols>
  <sheetData>
    <row r="1" ht="15.75" customHeight="1" s="97"/>
    <row r="2" ht="27.75" customHeight="1" s="97">
      <c r="B2" s="98" t="inlineStr">
        <is>
          <t>PLANNER ALAT BERAT PERTAMBANGAN</t>
        </is>
      </c>
    </row>
    <row r="3" ht="21.75" customHeight="1" s="97">
      <c r="B3" s="99" t="inlineStr">
        <is>
          <t>Mining Heavy Equipment Planner  •  Fleet Matching  •  Produktivitas  •  Preventive Maintenance</t>
        </is>
      </c>
    </row>
    <row r="4" ht="18" customHeight="1" s="97">
      <c r="B4" s="100" t="inlineStr">
        <is>
          <t>Template kerja untuk Mine Planner / Equipment Planner / Maintenance Planner di tambang terbuka (open pit)</t>
        </is>
      </c>
    </row>
    <row r="5" ht="15.75" customHeight="1" s="97"/>
    <row r="6" ht="15.75" customHeight="1" s="97">
      <c r="B6" s="101" t="inlineStr">
        <is>
          <t xml:space="preserve">  IDENTITAS PROYEK / SITE  (isi sel kuning — input)</t>
        </is>
      </c>
    </row>
    <row r="7" ht="15.75" customHeight="1" s="97">
      <c r="B7" s="102" t="inlineStr">
        <is>
          <t>Nama Perusahaan</t>
        </is>
      </c>
      <c r="C7" s="103" t="inlineStr">
        <is>
          <t>PT Contoh Mining Indonesia</t>
        </is>
      </c>
      <c r="D7" s="104" t="n"/>
      <c r="E7" s="105" t="n"/>
      <c r="F7" s="106" t="inlineStr">
        <is>
          <t>CARA PAKAI CEPAT
1. Isi identitas site di kiri (sel kuning).
2. Buka 02_ASUMSI — sesuaikan jam kerja, efisiensi, faktor material.
3. Update 03_FLEET — daftar unit aktual site Anda.
4. Atur cycle time di 04_PRODUKTIVITAS.
5. Baca hasil Match Factor &amp; kebutuhan alat di 05–06.
6. Isi SMH aktual di 07_PM_PLANNER untuk jadwal service.</t>
        </is>
      </c>
      <c r="G7" s="107" t="n"/>
      <c r="H7" s="108" t="n"/>
    </row>
    <row r="8" ht="15.75" customHeight="1" s="97">
      <c r="B8" s="102" t="inlineStr">
        <is>
          <t>Nama Site / Pit</t>
        </is>
      </c>
      <c r="C8" s="103" t="inlineStr">
        <is>
          <t>Pit A — Kalimantan Selatan</t>
        </is>
      </c>
      <c r="D8" s="104" t="n"/>
      <c r="E8" s="105" t="n"/>
      <c r="F8" s="109" t="n"/>
      <c r="H8" s="110" t="n"/>
    </row>
    <row r="9" ht="15.75" customHeight="1" s="97">
      <c r="B9" s="102" t="inlineStr">
        <is>
          <t>Komoditas</t>
        </is>
      </c>
      <c r="C9" s="103" t="inlineStr">
        <is>
          <t>Batubara (Coal) — Open Pit</t>
        </is>
      </c>
      <c r="D9" s="104" t="n"/>
      <c r="E9" s="105" t="n"/>
      <c r="F9" s="109" t="n"/>
      <c r="H9" s="110" t="n"/>
    </row>
    <row r="10" ht="15.75" customHeight="1" s="97">
      <c r="B10" s="102" t="inlineStr">
        <is>
          <t>Periode Rencana</t>
        </is>
      </c>
      <c r="C10" s="103" t="inlineStr">
        <is>
          <t>Oktober 2026</t>
        </is>
      </c>
      <c r="D10" s="104" t="n"/>
      <c r="E10" s="105" t="n"/>
      <c r="F10" s="109" t="n"/>
      <c r="H10" s="110" t="n"/>
    </row>
    <row r="11" ht="15.75" customHeight="1" s="97">
      <c r="B11" s="102" t="inlineStr">
        <is>
          <t>Disusun oleh</t>
        </is>
      </c>
      <c r="C11" s="103" t="inlineStr">
        <is>
          <t>Equipment / Mine Planner</t>
        </is>
      </c>
      <c r="D11" s="104" t="n"/>
      <c r="E11" s="105" t="n"/>
      <c r="F11" s="109" t="n"/>
      <c r="H11" s="110" t="n"/>
    </row>
    <row r="12" ht="15.75" customHeight="1" s="97">
      <c r="B12" s="102" t="inlineStr">
        <is>
          <t>Tanggal dokumen</t>
        </is>
      </c>
      <c r="C12" s="111" t="n">
        <v>46273</v>
      </c>
      <c r="D12" s="104" t="n"/>
      <c r="E12" s="105" t="n"/>
      <c r="F12" s="109" t="n"/>
      <c r="H12" s="110" t="n"/>
    </row>
    <row r="13" ht="15.75" customHeight="1" s="97">
      <c r="B13" s="102" t="inlineStr">
        <is>
          <t>Revisi</t>
        </is>
      </c>
      <c r="C13" s="103" t="inlineStr">
        <is>
          <t>Rev. 00 — Template awal</t>
        </is>
      </c>
      <c r="D13" s="104" t="n"/>
      <c r="E13" s="105" t="n"/>
      <c r="F13" s="112" t="n"/>
      <c r="G13" s="113" t="n"/>
      <c r="H13" s="114" t="n"/>
    </row>
    <row r="14" ht="15.75" customHeight="1" s="97"/>
    <row r="15" ht="15.75" customHeight="1" s="97">
      <c r="B15" s="101" t="inlineStr">
        <is>
          <t xml:space="preserve">  ISI WORKBOOK</t>
        </is>
      </c>
    </row>
    <row r="16" ht="15.75" customHeight="1" s="97">
      <c r="B16" s="115" t="inlineStr">
        <is>
          <t>Sheet</t>
        </is>
      </c>
      <c r="C16" s="116" t="inlineStr">
        <is>
          <t>Fungsi</t>
        </is>
      </c>
      <c r="D16" s="104" t="n"/>
      <c r="E16" s="104" t="n"/>
      <c r="F16" s="104" t="n"/>
      <c r="G16" s="104" t="n"/>
      <c r="H16" s="105" t="n"/>
    </row>
    <row r="17" ht="15.75" customHeight="1" s="97">
      <c r="B17" s="117" t="inlineStr">
        <is>
          <t>01_COVER</t>
        </is>
      </c>
      <c r="C17" s="118" t="inlineStr">
        <is>
          <t>Identitas proyek dan petunjuk pakai</t>
        </is>
      </c>
      <c r="D17" s="104" t="n"/>
      <c r="E17" s="104" t="n"/>
      <c r="F17" s="104" t="n"/>
      <c r="G17" s="104" t="n"/>
      <c r="H17" s="105" t="n"/>
    </row>
    <row r="18" ht="15.75" customHeight="1" s="97">
      <c r="B18" s="119" t="inlineStr">
        <is>
          <t>02_ASUMSI</t>
        </is>
      </c>
      <c r="C18" s="120" t="inlineStr">
        <is>
          <t>Parameter kerja, material, efisiensi, target produksi (semua input)</t>
        </is>
      </c>
      <c r="D18" s="104" t="n"/>
      <c r="E18" s="104" t="n"/>
      <c r="F18" s="104" t="n"/>
      <c r="G18" s="104" t="n"/>
      <c r="H18" s="105" t="n"/>
    </row>
    <row r="19" ht="15.75" customHeight="1" s="97">
      <c r="B19" s="117" t="inlineStr">
        <is>
          <t>03_FLEET</t>
        </is>
      </c>
      <c r="C19" s="118" t="inlineStr">
        <is>
          <t>Inventaris alat berat: jenis, kelas, status, SMH, ownership</t>
        </is>
      </c>
      <c r="D19" s="104" t="n"/>
      <c r="E19" s="104" t="n"/>
      <c r="F19" s="104" t="n"/>
      <c r="G19" s="104" t="n"/>
      <c r="H19" s="105" t="n"/>
    </row>
    <row r="20" ht="15.75" customHeight="1" s="97">
      <c r="B20" s="119" t="inlineStr">
        <is>
          <t>04_PRODUKTIVITAS</t>
        </is>
      </c>
      <c r="C20" s="120" t="inlineStr">
        <is>
          <t>Perhitungan produksi teoritis excavator &amp; dump truck</t>
        </is>
      </c>
      <c r="D20" s="104" t="n"/>
      <c r="E20" s="104" t="n"/>
      <c r="F20" s="104" t="n"/>
      <c r="G20" s="104" t="n"/>
      <c r="H20" s="105" t="n"/>
    </row>
    <row r="21" ht="15.75" customHeight="1" s="97">
      <c r="B21" s="117" t="inlineStr">
        <is>
          <t>05_MATCH_FACTOR</t>
        </is>
      </c>
      <c r="C21" s="118" t="inlineStr">
        <is>
          <t>Kesesuaian jumlah hauler vs loader (Match Factor)</t>
        </is>
      </c>
      <c r="D21" s="104" t="n"/>
      <c r="E21" s="104" t="n"/>
      <c r="F21" s="104" t="n"/>
      <c r="G21" s="104" t="n"/>
      <c r="H21" s="105" t="n"/>
    </row>
    <row r="22" ht="15.75" customHeight="1" s="97">
      <c r="B22" s="119" t="inlineStr">
        <is>
          <t>06_KEBUTUHAN</t>
        </is>
      </c>
      <c r="C22" s="120" t="inlineStr">
        <is>
          <t>Kebutuhan unit vs available — gap analysis fleet</t>
        </is>
      </c>
      <c r="D22" s="104" t="n"/>
      <c r="E22" s="104" t="n"/>
      <c r="F22" s="104" t="n"/>
      <c r="G22" s="104" t="n"/>
      <c r="H22" s="105" t="n"/>
    </row>
    <row r="23" ht="15.75" customHeight="1" s="97">
      <c r="B23" s="117" t="inlineStr">
        <is>
          <t>07_PM_PLANNER</t>
        </is>
      </c>
      <c r="C23" s="118" t="inlineStr">
        <is>
          <t>Jadwal Preventive Maintenance berbasis SMH</t>
        </is>
      </c>
      <c r="D23" s="104" t="n"/>
      <c r="E23" s="104" t="n"/>
      <c r="F23" s="104" t="n"/>
      <c r="G23" s="104" t="n"/>
      <c r="H23" s="105" t="n"/>
    </row>
    <row r="24" ht="15.75" customHeight="1" s="97">
      <c r="B24" s="119" t="inlineStr">
        <is>
          <t>08_DASHBOARD</t>
        </is>
      </c>
      <c r="C24" s="120" t="inlineStr">
        <is>
          <t>Ringkasan KPI produksi, utilisasi, dan status PM</t>
        </is>
      </c>
      <c r="D24" s="104" t="n"/>
      <c r="E24" s="104" t="n"/>
      <c r="F24" s="104" t="n"/>
      <c r="G24" s="104" t="n"/>
      <c r="H24" s="105" t="n"/>
    </row>
    <row r="25" ht="15.75" customHeight="1" s="97"/>
    <row r="26" ht="15.75" customHeight="1" s="97">
      <c r="B26" s="101" t="inlineStr">
        <is>
          <t xml:space="preserve">  ISTILAH TEKNIS PENTING (Technical Terms)</t>
        </is>
      </c>
    </row>
    <row r="27" ht="15.75" customHeight="1" s="97">
      <c r="B27" s="115" t="inlineStr">
        <is>
          <t>Istilah</t>
        </is>
      </c>
      <c r="C27" s="105" t="n"/>
      <c r="D27" s="115" t="inlineStr">
        <is>
          <t>Arti / Penjelasan</t>
        </is>
      </c>
      <c r="E27" s="104" t="n"/>
      <c r="F27" s="104" t="n"/>
      <c r="G27" s="104" t="n"/>
      <c r="H27" s="105" t="n"/>
    </row>
    <row r="28" ht="18" customHeight="1" s="97">
      <c r="B28" s="119" t="inlineStr">
        <is>
          <t>Heavy Equipment / Alat Berat</t>
        </is>
      </c>
      <c r="C28" s="105" t="n"/>
      <c r="D28" s="120" t="inlineStr">
        <is>
          <t>Mesin produksi utama tambang: excavator, dump truck, dozer, grader, dll.</t>
        </is>
      </c>
      <c r="E28" s="104" t="n"/>
      <c r="F28" s="104" t="n"/>
      <c r="G28" s="104" t="n"/>
      <c r="H28" s="105" t="n"/>
    </row>
    <row r="29" ht="18" customHeight="1" s="97">
      <c r="B29" s="121" t="inlineStr">
        <is>
          <t>Fleet / Armada</t>
        </is>
      </c>
      <c r="C29" s="105" t="n"/>
      <c r="D29" s="122" t="inlineStr">
        <is>
          <t>Kumpulan unit alat berat yang dioperasikan sebagai satu sistem produksi.</t>
        </is>
      </c>
      <c r="E29" s="104" t="n"/>
      <c r="F29" s="104" t="n"/>
      <c r="G29" s="104" t="n"/>
      <c r="H29" s="105" t="n"/>
    </row>
    <row r="30" ht="18" customHeight="1" s="97">
      <c r="B30" s="119" t="inlineStr">
        <is>
          <t>Match Factor (MF)</t>
        </is>
      </c>
      <c r="C30" s="105" t="n"/>
      <c r="D30" s="120" t="inlineStr">
        <is>
          <t>Rasio keseimbangan waktu edar hauler vs loader. Ideal ≈ 1,00–1,20.</t>
        </is>
      </c>
      <c r="E30" s="104" t="n"/>
      <c r="F30" s="104" t="n"/>
      <c r="G30" s="104" t="n"/>
      <c r="H30" s="105" t="n"/>
    </row>
    <row r="31" ht="18" customHeight="1" s="97">
      <c r="B31" s="121" t="inlineStr">
        <is>
          <t>Cycle Time (waktu edar)</t>
        </is>
      </c>
      <c r="C31" s="105" t="n"/>
      <c r="D31" s="122" t="inlineStr">
        <is>
          <t>Waktu satu putaran kerja alat (muat–angkut–buang–kembali).</t>
        </is>
      </c>
      <c r="E31" s="104" t="n"/>
      <c r="F31" s="104" t="n"/>
      <c r="G31" s="104" t="n"/>
      <c r="H31" s="105" t="n"/>
    </row>
    <row r="32" ht="18" customHeight="1" s="97">
      <c r="B32" s="119" t="inlineStr">
        <is>
          <t>BCM (Bank Cubic Meter)</t>
        </is>
      </c>
      <c r="C32" s="105" t="n"/>
      <c r="D32" s="120" t="inlineStr">
        <is>
          <t>Volume material in-situ / di tempat asal, sebelum digali.</t>
        </is>
      </c>
      <c r="E32" s="104" t="n"/>
      <c r="F32" s="104" t="n"/>
      <c r="G32" s="104" t="n"/>
      <c r="H32" s="105" t="n"/>
    </row>
    <row r="33" ht="18" customHeight="1" s="97">
      <c r="B33" s="121" t="inlineStr">
        <is>
          <t>LCM (Loose Cubic Meter)</t>
        </is>
      </c>
      <c r="C33" s="105" t="n"/>
      <c r="D33" s="122" t="inlineStr">
        <is>
          <t>Volume material lepas setelah digali (sudah mengembang / swell).</t>
        </is>
      </c>
      <c r="E33" s="104" t="n"/>
      <c r="F33" s="104" t="n"/>
      <c r="G33" s="104" t="n"/>
      <c r="H33" s="105" t="n"/>
    </row>
    <row r="34" ht="18" customHeight="1" s="97">
      <c r="B34" s="119" t="inlineStr">
        <is>
          <t>Swell Factor (faktor kembang)</t>
        </is>
      </c>
      <c r="C34" s="105" t="n"/>
      <c r="D34" s="120" t="inlineStr">
        <is>
          <t>Rasio LCM/BCM. Overburden batubara tipikal 1,20–1,40.</t>
        </is>
      </c>
      <c r="E34" s="104" t="n"/>
      <c r="F34" s="104" t="n"/>
      <c r="G34" s="104" t="n"/>
      <c r="H34" s="105" t="n"/>
    </row>
    <row r="35" ht="18" customHeight="1" s="97">
      <c r="B35" s="121" t="inlineStr">
        <is>
          <t>Fill Factor (faktor pengisian)</t>
        </is>
      </c>
      <c r="C35" s="105" t="n"/>
      <c r="D35" s="122" t="inlineStr">
        <is>
          <t>Persentase terisinya bucket dibanding kapasitas heaped.</t>
        </is>
      </c>
      <c r="E35" s="104" t="n"/>
      <c r="F35" s="104" t="n"/>
      <c r="G35" s="104" t="n"/>
      <c r="H35" s="105" t="n"/>
    </row>
    <row r="36" ht="18" customHeight="1" s="97">
      <c r="B36" s="119" t="inlineStr">
        <is>
          <t>Availability (ketersediaan)</t>
        </is>
      </c>
      <c r="C36" s="105" t="n"/>
      <c r="D36" s="120" t="inlineStr">
        <is>
          <t>Persentase waktu unit siap operasi (tidak breakdown / PM).</t>
        </is>
      </c>
      <c r="E36" s="104" t="n"/>
      <c r="F36" s="104" t="n"/>
      <c r="G36" s="104" t="n"/>
      <c r="H36" s="105" t="n"/>
    </row>
    <row r="37" ht="18" customHeight="1" s="97">
      <c r="B37" s="121" t="inlineStr">
        <is>
          <t>Utilization / Effective Use</t>
        </is>
      </c>
      <c r="C37" s="105" t="n"/>
      <c r="D37" s="122" t="inlineStr">
        <is>
          <t>Persentase waktu available yang benar-benar dipakai produksi.</t>
        </is>
      </c>
      <c r="E37" s="104" t="n"/>
      <c r="F37" s="104" t="n"/>
      <c r="G37" s="104" t="n"/>
      <c r="H37" s="105" t="n"/>
    </row>
    <row r="38" ht="18" customHeight="1" s="97">
      <c r="B38" s="119" t="inlineStr">
        <is>
          <t>SMH (Service Meter Hours)</t>
        </is>
      </c>
      <c r="C38" s="105" t="n"/>
      <c r="D38" s="120" t="inlineStr">
        <is>
          <t>Jam kerja mesin menurut hour meter, dasar penjadwalan PM.</t>
        </is>
      </c>
      <c r="E38" s="104" t="n"/>
      <c r="F38" s="104" t="n"/>
      <c r="G38" s="104" t="n"/>
      <c r="H38" s="105" t="n"/>
    </row>
    <row r="39" ht="18" customHeight="1" s="97">
      <c r="B39" s="121" t="inlineStr">
        <is>
          <t>Preventive Maintenance (PM)</t>
        </is>
      </c>
      <c r="C39" s="105" t="n"/>
      <c r="D39" s="122" t="inlineStr">
        <is>
          <t>Perawatan berkala berjadwal agar tidak terjadi unplanned downtime.</t>
        </is>
      </c>
      <c r="E39" s="104" t="n"/>
      <c r="F39" s="104" t="n"/>
      <c r="G39" s="104" t="n"/>
      <c r="H39" s="105" t="n"/>
    </row>
    <row r="40" ht="18" customHeight="1" s="97">
      <c r="B40" s="119" t="inlineStr">
        <is>
          <t>Stripping Ratio (SR)</t>
        </is>
      </c>
      <c r="C40" s="105" t="n"/>
      <c r="D40" s="120" t="inlineStr">
        <is>
          <t>BCM overburden yang harus dikupas per ton batubara terekspos.</t>
        </is>
      </c>
      <c r="E40" s="104" t="n"/>
      <c r="F40" s="104" t="n"/>
      <c r="G40" s="104" t="n"/>
      <c r="H40" s="105" t="n"/>
    </row>
    <row r="41" ht="18" customHeight="1" s="97">
      <c r="B41" s="121" t="inlineStr">
        <is>
          <t>Haul Road (jalan angkut)</t>
        </is>
      </c>
      <c r="C41" s="105" t="n"/>
      <c r="D41" s="122" t="inlineStr">
        <is>
          <t>Jalan tambang; geometri &amp; kondisi sangat memengaruhi cycle time.</t>
        </is>
      </c>
      <c r="E41" s="104" t="n"/>
      <c r="F41" s="104" t="n"/>
      <c r="G41" s="104" t="n"/>
      <c r="H41" s="105" t="n"/>
    </row>
    <row r="42" ht="15.75" customHeight="1" s="97"/>
    <row r="43" ht="19.5" customHeight="1" s="97">
      <c r="B43" s="123" t="inlineStr">
        <is>
          <t>DISCLAIMER: Template ini bersifat indikatif untuk perencanaan awal dan pengendalian operasional. Angka produktivitas default adalah nilai tipikal tambang terbuka batubara di Kalimantan, BUKAN hasil time study site Anda. Keputusan final jumlah alat, setting fleet, dan jadwal PM wajib merujuk data aktual cycle time, geoteknik, Kepmen ESDM 1827 K/30/MEM/2018 (kaidah teknik pertambangan), RKAB, dan persetujuan Mine Manager / Competent Person. Perhitungan struktur/geoteknik lereng tidak termasuk dalam workbook ini.</t>
        </is>
      </c>
      <c r="C43" s="107" t="n"/>
      <c r="D43" s="107" t="n"/>
      <c r="E43" s="107" t="n"/>
      <c r="F43" s="107" t="n"/>
      <c r="G43" s="107" t="n"/>
      <c r="H43" s="108" t="n"/>
    </row>
    <row r="44" ht="19.5" customHeight="1" s="97">
      <c r="B44" s="109" t="n"/>
      <c r="H44" s="110" t="n"/>
    </row>
    <row r="45" ht="19.5" customHeight="1" s="97">
      <c r="B45" s="112" t="n"/>
      <c r="C45" s="113" t="n"/>
      <c r="D45" s="113" t="n"/>
      <c r="E45" s="113" t="n"/>
      <c r="F45" s="113" t="n"/>
      <c r="G45" s="113" t="n"/>
      <c r="H45" s="114" t="n"/>
    </row>
    <row r="46" ht="15.75" customHeight="1" s="97">
      <c r="B46" s="124" t="inlineStr">
        <is>
          <t>Pendamping: baca file Panduan_Planner_Alat_Berat_Pertambangan.docx untuk rumus KPI (PA, UA, MA, MF), checklist harian/mingguan, dan cara isi tiap sheet.</t>
        </is>
      </c>
    </row>
    <row r="47" ht="15.75" customHeight="1" s="97"/>
  </sheetData>
  <autoFilter ref="B27:H41"/>
  <mergeCells count="54">
    <mergeCell ref="F7:H13"/>
    <mergeCell ref="D35:H35"/>
    <mergeCell ref="C16:H16"/>
    <mergeCell ref="D34:H34"/>
    <mergeCell ref="C22:H22"/>
    <mergeCell ref="C9:E9"/>
    <mergeCell ref="B6:H6"/>
    <mergeCell ref="B15:H15"/>
    <mergeCell ref="B31:C31"/>
    <mergeCell ref="D31:H31"/>
    <mergeCell ref="B27:C27"/>
    <mergeCell ref="D40:H40"/>
    <mergeCell ref="C12:E12"/>
    <mergeCell ref="D36:H36"/>
    <mergeCell ref="C21:H21"/>
    <mergeCell ref="B39:C39"/>
    <mergeCell ref="C11:E11"/>
    <mergeCell ref="B26:H26"/>
    <mergeCell ref="B4:H4"/>
    <mergeCell ref="C8:E8"/>
    <mergeCell ref="C23:H23"/>
    <mergeCell ref="D27:H27"/>
    <mergeCell ref="D41:H41"/>
    <mergeCell ref="C17:H17"/>
    <mergeCell ref="C7:E7"/>
    <mergeCell ref="B3:H3"/>
    <mergeCell ref="D32:H32"/>
    <mergeCell ref="B38:C38"/>
    <mergeCell ref="C19:H19"/>
    <mergeCell ref="B29:C29"/>
    <mergeCell ref="C13:E13"/>
    <mergeCell ref="B34:C34"/>
    <mergeCell ref="B37:C37"/>
    <mergeCell ref="B28:C28"/>
    <mergeCell ref="D28:H28"/>
    <mergeCell ref="B43:H45"/>
    <mergeCell ref="B2:H2"/>
    <mergeCell ref="C18:H18"/>
    <mergeCell ref="D37:H37"/>
    <mergeCell ref="B40:C40"/>
    <mergeCell ref="C24:H24"/>
    <mergeCell ref="B30:C30"/>
    <mergeCell ref="D30:H30"/>
    <mergeCell ref="D39:H39"/>
    <mergeCell ref="B33:C33"/>
    <mergeCell ref="D33:H33"/>
    <mergeCell ref="D29:H29"/>
    <mergeCell ref="B36:C36"/>
    <mergeCell ref="B32:C32"/>
    <mergeCell ref="D38:H38"/>
    <mergeCell ref="C20:H20"/>
    <mergeCell ref="B41:C41"/>
    <mergeCell ref="B35:C35"/>
    <mergeCell ref="C10:E10"/>
  </mergeCells>
  <printOptions horizontalCentered="1" verticalCentered="0" headings="0" gridLines="0" gridLinesSet="1"/>
  <pageMargins left="0.75" right="0.75" top="1" bottom="1" header="0.5" footer="0.5"/>
  <pageSetup orientation="landscape" paperSize="9" scale="100" fitToHeight="1" fitToWidth="1" pageOrder="downThenOver" blackAndWhite="0" draft="0" horizontalDpi="300" verticalDpi="300" copies="1"/>
  <headerFooter differentOddEven="0" differentFirst="0">
    <oddHeader>&amp;LPlanner Alat Berat Pertambangan</oddHeader>
    <oddFooter>&amp;LTemplate operasional — bukan desain final. Validasi engineer site.&amp;RHal. &amp;P / &amp;N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H36"/>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2" customWidth="1" style="96" min="1" max="1"/>
    <col width="38" customWidth="1" style="96" min="2" max="2"/>
    <col width="16" customWidth="1" style="96" min="3" max="3"/>
    <col width="14" customWidth="1" style="96" min="4" max="4"/>
    <col width="42" customWidth="1" style="96" min="5" max="5"/>
    <col width="16" customWidth="1" style="96" min="6" max="7"/>
    <col width="18" customWidth="1" style="96" min="8" max="8"/>
  </cols>
  <sheetData>
    <row r="1" ht="25.5" customHeight="1" s="97">
      <c r="B1" s="98" t="inlineStr">
        <is>
          <t>PARAMETER &amp; ASUMSI PERENCANAAN ALAT BERAT</t>
        </is>
      </c>
    </row>
    <row r="2" ht="15" customHeight="1" s="97">
      <c r="B2" s="125" t="inlineStr">
        <is>
          <t>Semua angka BIRU di sel KUNING adalah INPUT — ubah sesuai kondisi site. Jangan ketik di sel rumus.</t>
        </is>
      </c>
    </row>
    <row r="4" ht="18" customHeight="1" s="97">
      <c r="B4" s="126" t="inlineStr">
        <is>
          <t xml:space="preserve">  A. WAKTU KERJA  (Working Time)</t>
        </is>
      </c>
      <c r="F4" s="126" t="inlineStr">
        <is>
          <t xml:space="preserve">  D. SPESIFIKASI DEFAULT ALAT</t>
        </is>
      </c>
    </row>
    <row r="5" ht="15" customHeight="1" s="97">
      <c r="B5" s="115" t="inlineStr">
        <is>
          <t>Parameter</t>
        </is>
      </c>
      <c r="C5" s="115" t="inlineStr">
        <is>
          <t>Nilai</t>
        </is>
      </c>
      <c r="D5" s="115" t="inlineStr">
        <is>
          <t>Satuan</t>
        </is>
      </c>
      <c r="E5" s="115" t="inlineStr">
        <is>
          <t>Keterangan</t>
        </is>
      </c>
      <c r="F5" s="115" t="inlineStr">
        <is>
          <t>Kelas alat</t>
        </is>
      </c>
      <c r="G5" s="115" t="inlineStr">
        <is>
          <t>Nilai</t>
        </is>
      </c>
      <c r="H5" s="115" t="inlineStr">
        <is>
          <t>Satuan</t>
        </is>
      </c>
    </row>
    <row r="6" ht="35.05" customHeight="1" s="97">
      <c r="B6" s="127" t="inlineStr">
        <is>
          <t>Jam kerja kalender per hari (calendar hours)</t>
        </is>
      </c>
      <c r="C6" s="128" t="n">
        <v>21</v>
      </c>
      <c r="D6" s="129" t="inlineStr">
        <is>
          <t>jam/hari</t>
        </is>
      </c>
      <c r="E6" s="130" t="inlineStr">
        <is>
          <t>Umum 2 shift × 10–11 jam di site Kalsel</t>
        </is>
      </c>
      <c r="F6" s="127" t="inlineStr">
        <is>
          <t>Excavator kelas 40–50 t — bucket heaped</t>
        </is>
      </c>
      <c r="G6" s="131" t="n">
        <v>2.5</v>
      </c>
      <c r="H6" s="129" t="inlineStr">
        <is>
          <t>m3</t>
        </is>
      </c>
    </row>
    <row r="7" ht="35.05" customHeight="1" s="97">
      <c r="B7" s="122" t="inlineStr">
        <is>
          <t>Jumlah shift per hari</t>
        </is>
      </c>
      <c r="C7" s="128" t="n">
        <v>2</v>
      </c>
      <c r="D7" s="132" t="inlineStr">
        <is>
          <t>shift</t>
        </is>
      </c>
      <c r="E7" s="133" t="inlineStr">
        <is>
          <t>Siang + malam</t>
        </is>
      </c>
      <c r="F7" s="127" t="inlineStr">
        <is>
          <t>Excavator kelas 70–90 t — bucket heaped</t>
        </is>
      </c>
      <c r="G7" s="131" t="n">
        <v>4.5</v>
      </c>
      <c r="H7" s="129" t="inlineStr">
        <is>
          <t>m3</t>
        </is>
      </c>
    </row>
    <row r="8" ht="23.85" customHeight="1" s="97">
      <c r="B8" s="127" t="inlineStr">
        <is>
          <t>Jam kerja efektif per shift</t>
        </is>
      </c>
      <c r="C8" s="128" t="n">
        <v>10</v>
      </c>
      <c r="D8" s="129" t="inlineStr">
        <is>
          <t>jam</t>
        </is>
      </c>
      <c r="E8" s="130" t="inlineStr">
        <is>
          <t>Setelah briefing, istirahat, handover</t>
        </is>
      </c>
      <c r="F8" s="127" t="inlineStr">
        <is>
          <t>Excavator kelas 120 t — bucket heaped</t>
        </is>
      </c>
      <c r="G8" s="131" t="n">
        <v>7</v>
      </c>
      <c r="H8" s="129" t="inlineStr">
        <is>
          <t>m3</t>
        </is>
      </c>
    </row>
    <row r="9" ht="23.85" customHeight="1" s="97">
      <c r="B9" s="122" t="inlineStr">
        <is>
          <t>Hari kerja per bulan</t>
        </is>
      </c>
      <c r="C9" s="128" t="n">
        <v>30</v>
      </c>
      <c r="D9" s="132" t="inlineStr">
        <is>
          <t>hari</t>
        </is>
      </c>
      <c r="E9" s="133" t="inlineStr">
        <is>
          <t>Operasi 24/7 minus force majeure</t>
        </is>
      </c>
      <c r="F9" s="127" t="inlineStr">
        <is>
          <t>Excavator kelas 200 t — bucket heaped</t>
        </is>
      </c>
      <c r="G9" s="131" t="n">
        <v>12</v>
      </c>
      <c r="H9" s="129" t="inlineStr">
        <is>
          <t>m3</t>
        </is>
      </c>
    </row>
    <row r="10" ht="23.85" customHeight="1" s="97">
      <c r="B10" s="127" t="inlineStr">
        <is>
          <t>Physical Availability target (PA)</t>
        </is>
      </c>
      <c r="C10" s="134" t="n">
        <v>0.85</v>
      </c>
      <c r="D10" s="129" t="inlineStr">
        <is>
          <t>%</t>
        </is>
      </c>
      <c r="E10" s="130" t="inlineStr">
        <is>
          <t>Ketersediaan fisik unit (tidak BD / PM panjang)</t>
        </is>
      </c>
      <c r="F10" s="127" t="inlineStr">
        <is>
          <t>Dump truck 30–40 t (on-highway)</t>
        </is>
      </c>
      <c r="G10" s="131" t="n">
        <v>18</v>
      </c>
      <c r="H10" s="129" t="inlineStr">
        <is>
          <t>m3</t>
        </is>
      </c>
    </row>
    <row r="11" ht="23.85" customHeight="1" s="97">
      <c r="B11" s="122" t="inlineStr">
        <is>
          <t>Use of Availability target (UA)</t>
        </is>
      </c>
      <c r="C11" s="134" t="n">
        <v>0.83</v>
      </c>
      <c r="D11" s="132" t="inlineStr">
        <is>
          <t>%</t>
        </is>
      </c>
      <c r="E11" s="133" t="inlineStr">
        <is>
          <t>Pemanfaatan waktu available (job efficiency ≈ 50-min hour)</t>
        </is>
      </c>
      <c r="F11" s="127" t="inlineStr">
        <is>
          <t>Rigid dump 60 t class (HD465 eq.)</t>
        </is>
      </c>
      <c r="G11" s="131" t="n">
        <v>35</v>
      </c>
      <c r="H11" s="129" t="inlineStr">
        <is>
          <t>m3</t>
        </is>
      </c>
    </row>
    <row r="12" ht="23.85" customHeight="1" s="97">
      <c r="B12" s="127" t="inlineStr">
        <is>
          <t>Weather / rain delay allowance</t>
        </is>
      </c>
      <c r="C12" s="134" t="n">
        <v>0.05</v>
      </c>
      <c r="D12" s="129" t="inlineStr">
        <is>
          <t>%</t>
        </is>
      </c>
      <c r="E12" s="130" t="inlineStr">
        <is>
          <t>Faktor hujan tropis Kalimantan (sesuaikan musim)</t>
        </is>
      </c>
      <c r="F12" s="127" t="inlineStr">
        <is>
          <t>Rigid dump 100 t class (HD785 eq.)</t>
        </is>
      </c>
      <c r="G12" s="131" t="n">
        <v>60</v>
      </c>
      <c r="H12" s="129" t="inlineStr">
        <is>
          <t>m3</t>
        </is>
      </c>
    </row>
    <row r="13" ht="23.85" customHeight="1" s="97">
      <c r="B13" s="135" t="inlineStr">
        <is>
          <t>Jam efektif produksi per hari (setelah PA × UA × rain)</t>
        </is>
      </c>
      <c r="C13" s="136">
        <f>C6*(1-C12)*C10*C11</f>
        <v/>
      </c>
      <c r="D13" s="137" t="inlineStr">
        <is>
          <t>jam/hari</t>
        </is>
      </c>
      <c r="E13" s="138" t="inlineStr">
        <is>
          <t>Calendar hours × (1−rain) × PA × UA</t>
        </is>
      </c>
      <c r="F13" s="127" t="inlineStr">
        <is>
          <t>Cycle time gali-muat 40–50 t (OB)</t>
        </is>
      </c>
      <c r="G13" s="131" t="n">
        <v>24</v>
      </c>
      <c r="H13" s="129" t="inlineStr">
        <is>
          <t>detik</t>
        </is>
      </c>
    </row>
    <row r="14" ht="23.85" customHeight="1" s="97">
      <c r="B14" s="139" t="inlineStr">
        <is>
          <t>Jam efektif produksi per bulan</t>
        </is>
      </c>
      <c r="C14" s="140">
        <f>C13*C9</f>
        <v/>
      </c>
      <c r="D14" s="141" t="inlineStr">
        <is>
          <t>jam/bulan</t>
        </is>
      </c>
      <c r="E14" s="142" t="inlineStr">
        <is>
          <t>Dipakai untuk konversi produksi bulanan</t>
        </is>
      </c>
      <c r="F14" s="127" t="inlineStr">
        <is>
          <t>Cycle time gali-muat 70–90 t (OB)</t>
        </is>
      </c>
      <c r="G14" s="131" t="n">
        <v>26</v>
      </c>
      <c r="H14" s="129" t="inlineStr">
        <is>
          <t>detik</t>
        </is>
      </c>
    </row>
    <row r="15" ht="23.85" customHeight="1" s="97">
      <c r="F15" s="127" t="inlineStr">
        <is>
          <t>Cycle time gali-muat 120 t (OB)</t>
        </is>
      </c>
      <c r="G15" s="131" t="n">
        <v>28</v>
      </c>
      <c r="H15" s="129" t="inlineStr">
        <is>
          <t>detik</t>
        </is>
      </c>
    </row>
    <row r="16" ht="23.85" customHeight="1" s="97">
      <c r="B16" s="126" t="inlineStr">
        <is>
          <t xml:space="preserve">  B. KARAKTERISTIK MATERIAL  (Material Properties)</t>
        </is>
      </c>
      <c r="F16" s="127" t="inlineStr">
        <is>
          <t>Cycle time gali-muat 200 t (OB)</t>
        </is>
      </c>
      <c r="G16" s="131" t="n">
        <v>32</v>
      </c>
      <c r="H16" s="129" t="inlineStr">
        <is>
          <t>detik</t>
        </is>
      </c>
    </row>
    <row r="17" ht="23.85" customHeight="1" s="97">
      <c r="B17" s="115" t="inlineStr">
        <is>
          <t>Parameter</t>
        </is>
      </c>
      <c r="C17" s="115" t="inlineStr">
        <is>
          <t>Nilai</t>
        </is>
      </c>
      <c r="D17" s="115" t="inlineStr">
        <is>
          <t>Satuan</t>
        </is>
      </c>
      <c r="E17" s="115" t="inlineStr">
        <is>
          <t>Keterangan</t>
        </is>
      </c>
      <c r="F17" s="127" t="inlineStr">
        <is>
          <t>Pass count 40 t exc → 30 t DT</t>
        </is>
      </c>
      <c r="G17" s="131" t="n">
        <v>6</v>
      </c>
      <c r="H17" s="129" t="inlineStr">
        <is>
          <t>pass</t>
        </is>
      </c>
    </row>
    <row r="18" ht="23.85" customHeight="1" s="97">
      <c r="B18" s="127" t="inlineStr">
        <is>
          <t>Jenis material utama (OB / coal)</t>
        </is>
      </c>
      <c r="C18" s="143" t="inlineStr">
        <is>
          <t>Overburden</t>
        </is>
      </c>
      <c r="D18" s="129" t="inlineStr">
        <is>
          <t>-</t>
        </is>
      </c>
      <c r="E18" s="130" t="inlineStr">
        <is>
          <t>Ganti ke Coal jika menghitung fleet coal getting</t>
        </is>
      </c>
      <c r="F18" s="127" t="inlineStr">
        <is>
          <t>Pass count 90 t exc → 60 t DT</t>
        </is>
      </c>
      <c r="G18" s="131" t="n">
        <v>5</v>
      </c>
      <c r="H18" s="129" t="inlineStr">
        <is>
          <t>pass</t>
        </is>
      </c>
    </row>
    <row r="19" ht="23.85" customHeight="1" s="97">
      <c r="B19" s="127" t="inlineStr">
        <is>
          <t>Swell Factor OB (LCM/BCM)</t>
        </is>
      </c>
      <c r="C19" s="131" t="n">
        <v>1.3</v>
      </c>
      <c r="D19" s="129" t="inlineStr">
        <is>
          <t>rasio</t>
        </is>
      </c>
      <c r="E19" s="130" t="inlineStr">
        <is>
          <t>Tipikal claystone/mudstone Kalsel 1,25–1,40</t>
        </is>
      </c>
      <c r="F19" s="127" t="inlineStr">
        <is>
          <t>Pass count 120 t exc → 100 t DT</t>
        </is>
      </c>
      <c r="G19" s="131" t="n">
        <v>5</v>
      </c>
      <c r="H19" s="129" t="inlineStr">
        <is>
          <t>pass</t>
        </is>
      </c>
    </row>
    <row r="20" ht="35.05" customHeight="1" s="97">
      <c r="B20" s="127" t="inlineStr">
        <is>
          <t>Fill Factor bucket excavator OB</t>
        </is>
      </c>
      <c r="C20" s="131" t="n">
        <v>0.9</v>
      </c>
      <c r="D20" s="129" t="inlineStr">
        <is>
          <t>rasio</t>
        </is>
      </c>
      <c r="E20" s="130" t="inlineStr">
        <is>
          <t>Bucket heaped; turun jika material sticky/rocky</t>
        </is>
      </c>
      <c r="F20" s="127" t="inlineStr">
        <is>
          <t>Konsumsi BBM excavator 90 t (l/jam)</t>
        </is>
      </c>
      <c r="G20" s="131" t="n">
        <v>55</v>
      </c>
      <c r="H20" s="129" t="inlineStr">
        <is>
          <t>liter/jam</t>
        </is>
      </c>
    </row>
    <row r="21" ht="23.85" customHeight="1" s="97">
      <c r="B21" s="127" t="inlineStr">
        <is>
          <t>Bulk density OB in-situ</t>
        </is>
      </c>
      <c r="C21" s="131" t="n">
        <v>2.1</v>
      </c>
      <c r="D21" s="129" t="inlineStr">
        <is>
          <t>t/BCM</t>
        </is>
      </c>
      <c r="E21" s="130" t="inlineStr">
        <is>
          <t>Untuk konversi tonase, bukan volume</t>
        </is>
      </c>
      <c r="F21" s="127" t="inlineStr">
        <is>
          <t>Konsumsi BBM HD785 class (l/jam)</t>
        </is>
      </c>
      <c r="G21" s="131" t="n">
        <v>70</v>
      </c>
      <c r="H21" s="129" t="inlineStr">
        <is>
          <t>liter/jam</t>
        </is>
      </c>
    </row>
    <row r="22" ht="23.85" customHeight="1" s="97">
      <c r="B22" s="127" t="inlineStr">
        <is>
          <t>Bucket fill factor coal</t>
        </is>
      </c>
      <c r="C22" s="131" t="n">
        <v>0.85</v>
      </c>
      <c r="D22" s="129" t="inlineStr">
        <is>
          <t>rasio</t>
        </is>
      </c>
      <c r="E22" s="130" t="inlineStr">
        <is>
          <t>Coal lebih ringan, bucket sering tidak penuh berat</t>
        </is>
      </c>
      <c r="F22" s="127" t="inlineStr">
        <is>
          <t>Konsumsi BBM dozer D155 class (l/jam)</t>
        </is>
      </c>
      <c r="G22" s="131" t="n">
        <v>48</v>
      </c>
      <c r="H22" s="129" t="inlineStr">
        <is>
          <t>liter/jam</t>
        </is>
      </c>
    </row>
    <row r="23" ht="23.85" customHeight="1" s="97">
      <c r="B23" s="127" t="inlineStr">
        <is>
          <t>Swell factor coal</t>
        </is>
      </c>
      <c r="C23" s="131" t="n">
        <v>1.25</v>
      </c>
      <c r="D23" s="129" t="inlineStr">
        <is>
          <t>rasio</t>
        </is>
      </c>
      <c r="E23" s="130" t="inlineStr">
        <is>
          <t>Setelah digali</t>
        </is>
      </c>
      <c r="F23" s="127" t="inlineStr">
        <is>
          <t>Harga solar site (Rp/liter)</t>
        </is>
      </c>
      <c r="G23" s="144" t="n">
        <v>15000</v>
      </c>
      <c r="H23" s="129" t="inlineStr">
        <is>
          <t>Rp/liter</t>
        </is>
      </c>
    </row>
    <row r="24" ht="15" customHeight="1" s="97">
      <c r="B24" s="127" t="inlineStr">
        <is>
          <t>Moisture allowance / slippery road</t>
        </is>
      </c>
      <c r="C24" s="131" t="n">
        <v>1.05</v>
      </c>
      <c r="D24" s="129" t="inlineStr">
        <is>
          <t>faktor</t>
        </is>
      </c>
      <c r="E24" s="130" t="inlineStr">
        <is>
          <t>Naikkan cycle time haul saat musim hujan</t>
        </is>
      </c>
    </row>
    <row r="25" ht="15" customHeight="1" s="97">
      <c r="F25" s="145" t="inlineStr">
        <is>
          <t>CATATAN STANDAR &amp; PRAKTIK LAPANGAN
• PA (Physical Availability) dan UA (Use of Availability) mengikuti kaidah perhitungan OEE alat tambang. Target PA 85% dan UA 83% setara job efficiency ±50 menit/jam — nilai umum kontraktor Kalsel jika spare part lancar.
• Match Factor dihitung:  MF = (N_hauler × Ct_loader) / (N_loader × Ct_hauler). Kebijakan umum: MF 1,05–1,20 agar excavator jarang idle (alat gali lebih mahal).
• Volume produksi dinyatakan dalam BCM (bank cubic meter) untuk OB. Konversi ke LCM = BCM × Swell Factor.
• Acuan regulasi: Kepmen ESDM 1827 K/30/MEM/2018 Lampiran II (kebutuhan peralatan utama &amp; pendukung, unjuk kerja, jam kerja efektif). RKAB wajib memuat jenis, jumlah, kapasitas alat per tahun.
• Productivity default BUKAN time study. Lakukan time &amp; motion study 3–5 hari sebelum lock setting fleet bulanan.</t>
        </is>
      </c>
      <c r="G25" s="107" t="n"/>
      <c r="H25" s="108" t="n"/>
    </row>
    <row r="26" ht="15" customHeight="1" s="97">
      <c r="B26" s="126" t="inlineStr">
        <is>
          <t xml:space="preserve">  C. TARGET PRODUKSI  (Production Target)</t>
        </is>
      </c>
      <c r="F26" s="109" t="n"/>
      <c r="H26" s="110" t="n"/>
    </row>
    <row r="27" ht="15" customHeight="1" s="97">
      <c r="B27" s="115" t="inlineStr">
        <is>
          <t>Parameter</t>
        </is>
      </c>
      <c r="C27" s="115" t="inlineStr">
        <is>
          <t>Nilai</t>
        </is>
      </c>
      <c r="D27" s="115" t="inlineStr">
        <is>
          <t>Satuan</t>
        </is>
      </c>
      <c r="E27" s="115" t="inlineStr">
        <is>
          <t>Keterangan</t>
        </is>
      </c>
      <c r="F27" s="109" t="n"/>
      <c r="H27" s="110" t="n"/>
    </row>
    <row r="28" ht="15" customHeight="1" s="97">
      <c r="B28" s="127" t="inlineStr">
        <is>
          <t>Target overburden bulanan</t>
        </is>
      </c>
      <c r="C28" s="146" t="n">
        <v>400000</v>
      </c>
      <c r="D28" s="129" t="inlineStr">
        <is>
          <t>BCM/bulan</t>
        </is>
      </c>
      <c r="E28" s="130" t="inlineStr">
        <is>
          <t>Sesuai RKAB / short-term plan</t>
        </is>
      </c>
      <c r="F28" s="109" t="n"/>
      <c r="H28" s="110" t="n"/>
    </row>
    <row r="29" ht="15" customHeight="1" s="97">
      <c r="B29" s="127" t="inlineStr">
        <is>
          <t>Target batubara bulanan</t>
        </is>
      </c>
      <c r="C29" s="146" t="n">
        <v>80000</v>
      </c>
      <c r="D29" s="129" t="inlineStr">
        <is>
          <t>ton/bulan</t>
        </is>
      </c>
      <c r="E29" s="130" t="inlineStr">
        <is>
          <t>Sesuai kontrak / RKAB</t>
        </is>
      </c>
      <c r="F29" s="109" t="n"/>
      <c r="H29" s="110" t="n"/>
    </row>
    <row r="30" ht="15" customHeight="1" s="97">
      <c r="B30" s="127" t="inlineStr">
        <is>
          <t>Stripping Ratio rencana (SR)</t>
        </is>
      </c>
      <c r="C30" s="131" t="n">
        <v>5</v>
      </c>
      <c r="D30" s="129" t="inlineStr">
        <is>
          <t>BCM/ton</t>
        </is>
      </c>
      <c r="E30" s="130" t="inlineStr">
        <is>
          <t>OB / coal</t>
        </is>
      </c>
      <c r="F30" s="109" t="n"/>
      <c r="H30" s="110" t="n"/>
    </row>
    <row r="31" ht="15" customHeight="1" s="97">
      <c r="B31" s="127" t="inlineStr">
        <is>
          <t>Jarak angkut rata-rata OB (one way)</t>
        </is>
      </c>
      <c r="C31" s="131" t="n">
        <v>2.8</v>
      </c>
      <c r="D31" s="129" t="inlineStr">
        <is>
          <t>km</t>
        </is>
      </c>
      <c r="E31" s="130" t="inlineStr">
        <is>
          <t>Loading point → disposal</t>
        </is>
      </c>
      <c r="F31" s="109" t="n"/>
      <c r="H31" s="110" t="n"/>
    </row>
    <row r="32" ht="15" customHeight="1" s="97">
      <c r="B32" s="127" t="inlineStr">
        <is>
          <t>Kecepatan rata-rata loaded</t>
        </is>
      </c>
      <c r="C32" s="131" t="n">
        <v>18</v>
      </c>
      <c r="D32" s="129" t="inlineStr">
        <is>
          <t>km/jam</t>
        </is>
      </c>
      <c r="E32" s="130" t="inlineStr">
        <is>
          <t>Haul road basah/bergelombang tipikal site</t>
        </is>
      </c>
      <c r="F32" s="109" t="n"/>
      <c r="H32" s="110" t="n"/>
    </row>
    <row r="33" ht="15" customHeight="1" s="97">
      <c r="B33" s="127" t="inlineStr">
        <is>
          <t>Kecepatan rata-rata empty</t>
        </is>
      </c>
      <c r="C33" s="131" t="n">
        <v>25</v>
      </c>
      <c r="D33" s="129" t="inlineStr">
        <is>
          <t>km/jam</t>
        </is>
      </c>
      <c r="E33" s="130" t="inlineStr">
        <is>
          <t>Return trip</t>
        </is>
      </c>
      <c r="F33" s="109" t="n"/>
      <c r="H33" s="110" t="n"/>
    </row>
    <row r="34" ht="15" customHeight="1" s="97">
      <c r="B34" s="127" t="inlineStr">
        <is>
          <t>Waktu spotting + antri loading</t>
        </is>
      </c>
      <c r="C34" s="131" t="n">
        <v>0.8</v>
      </c>
      <c r="D34" s="129" t="inlineStr">
        <is>
          <t>menit</t>
        </is>
      </c>
      <c r="E34" s="130" t="inlineStr">
        <is>
          <t>Depends on pit crowding</t>
        </is>
      </c>
      <c r="F34" s="109" t="n"/>
      <c r="H34" s="110" t="n"/>
    </row>
    <row r="35" ht="15" customHeight="1" s="97">
      <c r="B35" s="127" t="inlineStr">
        <is>
          <t>Waktu dumping + maneuver</t>
        </is>
      </c>
      <c r="C35" s="131" t="n">
        <v>0.9</v>
      </c>
      <c r="D35" s="129" t="inlineStr">
        <is>
          <t>menit</t>
        </is>
      </c>
      <c r="E35" s="130" t="inlineStr">
        <is>
          <t>Termasuk spot di disposal</t>
        </is>
      </c>
      <c r="F35" s="109" t="n"/>
      <c r="H35" s="110" t="n"/>
    </row>
    <row r="36" ht="15" customHeight="1" s="97">
      <c r="B36" s="147" t="inlineStr">
        <is>
          <t>SR hitung ulang (cek konsistensi target)</t>
        </is>
      </c>
      <c r="C36" s="148">
        <f>IF(C29=0,"-",C28/C29)</f>
        <v/>
      </c>
      <c r="D36" s="149" t="inlineStr">
        <is>
          <t>BCM/ton</t>
        </is>
      </c>
      <c r="E36" s="149" t="inlineStr">
        <is>
          <t>Jika beda jauh dari C30, target tidak konsisten</t>
        </is>
      </c>
      <c r="F36" s="112" t="n"/>
      <c r="G36" s="113" t="n"/>
      <c r="H36" s="114" t="n"/>
    </row>
  </sheetData>
  <mergeCells count="7">
    <mergeCell ref="B26:E26"/>
    <mergeCell ref="B4:E4"/>
    <mergeCell ref="B1:H1"/>
    <mergeCell ref="B16:E16"/>
    <mergeCell ref="B2:H2"/>
    <mergeCell ref="F4:H4"/>
    <mergeCell ref="F25:H36"/>
  </mergeCells>
  <printOptions horizontalCentered="1" verticalCentered="0" headings="0" gridLines="0" gridLinesSet="1"/>
  <pageMargins left="0.75" right="0.75" top="1" bottom="1" header="0.5" footer="0.5"/>
  <pageSetup orientation="landscape" paperSize="9" scale="100" fitToHeight="1" fitToWidth="1" pageOrder="downThenOver" blackAndWhite="0" draft="0" horizontalDpi="300" verticalDpi="300" copies="1"/>
  <headerFooter differentOddEven="0" differentFirst="0">
    <oddHeader>&amp;L02_ASUMSI — Parameter Perencanaan</oddHeader>
    <oddFooter>&amp;LSel kuning = INPUT  |  Sel putih = rumus&amp;RHal. &amp;P /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M3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96" min="1" max="1"/>
    <col width="14" customWidth="1" style="96" min="2" max="2"/>
    <col width="16" customWidth="1" style="96" min="3" max="3"/>
    <col width="22" customWidth="1" style="96" min="4" max="4"/>
    <col width="12" customWidth="1" style="96" min="5" max="7"/>
    <col width="14" customWidth="1" style="96" min="8" max="8"/>
    <col width="12" customWidth="1" style="96" min="9" max="9"/>
    <col width="14" customWidth="1" style="96" min="10" max="10"/>
    <col width="10" customWidth="1" style="96" min="11" max="11"/>
    <col width="18" customWidth="1" style="96" min="12" max="12"/>
    <col width="22" customWidth="1" style="96" min="13" max="13"/>
  </cols>
  <sheetData>
    <row r="1" ht="25.5" customHeight="1" s="97">
      <c r="A1" s="98" t="inlineStr">
        <is>
          <t>INVENTARIS FLEET ALAT BERAT  —  EQUIPMENT MASTER LIST</t>
        </is>
      </c>
    </row>
    <row r="2" ht="15" customHeight="1" s="97">
      <c r="A2" s="125" t="inlineStr">
        <is>
          <t>Status: OPERASI / STANDBY / BREAKDOWN / PM / WAITING PART  •  Ownership: OWN / RENTAL</t>
        </is>
      </c>
    </row>
    <row r="3" ht="15" customHeight="1" s="97">
      <c r="A3" s="150">
        <f>CONCATENATE("Site: ",01_COVER!C8,"   |   Periode: ",01_COVER!C10,"   |   Perusahaan: ",01_COVER!C7)</f>
        <v/>
      </c>
    </row>
    <row r="5" ht="21.75" customHeight="1" s="97">
      <c r="A5" s="115" t="inlineStr">
        <is>
          <t>No</t>
        </is>
      </c>
      <c r="B5" s="115" t="inlineStr">
        <is>
          <t>Kode Unit</t>
        </is>
      </c>
      <c r="C5" s="115" t="inlineStr">
        <is>
          <t>Jenis Alat</t>
        </is>
      </c>
      <c r="D5" s="115" t="inlineStr">
        <is>
          <t>Merk / Model</t>
        </is>
      </c>
      <c r="E5" s="115" t="inlineStr">
        <is>
          <t>Kelas</t>
        </is>
      </c>
      <c r="F5" s="115" t="inlineStr">
        <is>
          <t>Kapasitas</t>
        </is>
      </c>
      <c r="G5" s="115" t="inlineStr">
        <is>
          <t>Satuan Kap.</t>
        </is>
      </c>
      <c r="H5" s="115" t="inlineStr">
        <is>
          <t>Status</t>
        </is>
      </c>
      <c r="I5" s="115" t="inlineStr">
        <is>
          <t>Ownership</t>
        </is>
      </c>
      <c r="J5" s="115" t="inlineStr">
        <is>
          <t>SMH Saat Ini</t>
        </is>
      </c>
      <c r="K5" s="115" t="inlineStr">
        <is>
          <t>Tahun</t>
        </is>
      </c>
      <c r="L5" s="115" t="inlineStr">
        <is>
          <t>Lokasi / Front</t>
        </is>
      </c>
      <c r="M5" s="115" t="inlineStr">
        <is>
          <t>Keterangan</t>
        </is>
      </c>
    </row>
    <row r="6" ht="15" customHeight="1" s="97">
      <c r="A6" s="129" t="n">
        <v>1</v>
      </c>
      <c r="B6" s="143" t="inlineStr">
        <is>
          <t>EX-01</t>
        </is>
      </c>
      <c r="C6" s="129" t="inlineStr">
        <is>
          <t>Excavator</t>
        </is>
      </c>
      <c r="D6" s="127" t="inlineStr">
        <is>
          <t>Komatsu PC400LC-8</t>
        </is>
      </c>
      <c r="E6" s="129" t="inlineStr">
        <is>
          <t>40 t</t>
        </is>
      </c>
      <c r="F6" s="151" t="n">
        <v>2.5</v>
      </c>
      <c r="G6" s="129" t="inlineStr">
        <is>
          <t>m3</t>
        </is>
      </c>
      <c r="H6" s="143" t="inlineStr">
        <is>
          <t>OPERASI</t>
        </is>
      </c>
      <c r="I6" s="143" t="inlineStr">
        <is>
          <t>OWN</t>
        </is>
      </c>
      <c r="J6" s="146" t="n">
        <v>14250</v>
      </c>
      <c r="K6" s="129" t="n">
        <v>2018</v>
      </c>
      <c r="L6" s="143" t="inlineStr">
        <is>
          <t>Front OB-1</t>
        </is>
      </c>
      <c r="M6" s="103" t="inlineStr">
        <is>
          <t>Loading OB</t>
        </is>
      </c>
    </row>
    <row r="7" ht="15" customHeight="1" s="97">
      <c r="A7" s="132" t="n">
        <v>2</v>
      </c>
      <c r="B7" s="143" t="inlineStr">
        <is>
          <t>EX-02</t>
        </is>
      </c>
      <c r="C7" s="132" t="inlineStr">
        <is>
          <t>Excavator</t>
        </is>
      </c>
      <c r="D7" s="122" t="inlineStr">
        <is>
          <t>Komatsu PC400LC-8</t>
        </is>
      </c>
      <c r="E7" s="132" t="inlineStr">
        <is>
          <t>40 t</t>
        </is>
      </c>
      <c r="F7" s="152" t="n">
        <v>2.5</v>
      </c>
      <c r="G7" s="132" t="inlineStr">
        <is>
          <t>m3</t>
        </is>
      </c>
      <c r="H7" s="143" t="inlineStr">
        <is>
          <t>OPERASI</t>
        </is>
      </c>
      <c r="I7" s="143" t="inlineStr">
        <is>
          <t>OWN</t>
        </is>
      </c>
      <c r="J7" s="146" t="n">
        <v>12880</v>
      </c>
      <c r="K7" s="132" t="n">
        <v>2019</v>
      </c>
      <c r="L7" s="143" t="inlineStr">
        <is>
          <t>Front Coal</t>
        </is>
      </c>
      <c r="M7" s="103" t="inlineStr">
        <is>
          <t>Coal getting</t>
        </is>
      </c>
    </row>
    <row r="8" ht="15" customHeight="1" s="97">
      <c r="A8" s="129" t="n">
        <v>3</v>
      </c>
      <c r="B8" s="143" t="inlineStr">
        <is>
          <t>EX-03</t>
        </is>
      </c>
      <c r="C8" s="129" t="inlineStr">
        <is>
          <t>Excavator</t>
        </is>
      </c>
      <c r="D8" s="127" t="inlineStr">
        <is>
          <t>Sany SY750H</t>
        </is>
      </c>
      <c r="E8" s="129" t="inlineStr">
        <is>
          <t>75 t</t>
        </is>
      </c>
      <c r="F8" s="151" t="n">
        <v>4.5</v>
      </c>
      <c r="G8" s="129" t="inlineStr">
        <is>
          <t>m3</t>
        </is>
      </c>
      <c r="H8" s="143" t="inlineStr">
        <is>
          <t>OPERASI</t>
        </is>
      </c>
      <c r="I8" s="143" t="inlineStr">
        <is>
          <t>RENTAL</t>
        </is>
      </c>
      <c r="J8" s="146" t="n">
        <v>6200</v>
      </c>
      <c r="K8" s="129" t="n">
        <v>2022</v>
      </c>
      <c r="L8" s="143" t="inlineStr">
        <is>
          <t>Front OB-1</t>
        </is>
      </c>
      <c r="M8" s="103" t="inlineStr">
        <is>
          <t>Loading OB</t>
        </is>
      </c>
    </row>
    <row r="9" ht="15" customHeight="1" s="97">
      <c r="A9" s="132" t="n">
        <v>4</v>
      </c>
      <c r="B9" s="143" t="inlineStr">
        <is>
          <t>EX-04</t>
        </is>
      </c>
      <c r="C9" s="132" t="inlineStr">
        <is>
          <t>Excavator</t>
        </is>
      </c>
      <c r="D9" s="122" t="inlineStr">
        <is>
          <t>Komatsu PC800-8</t>
        </is>
      </c>
      <c r="E9" s="132" t="inlineStr">
        <is>
          <t>80 t</t>
        </is>
      </c>
      <c r="F9" s="152" t="n">
        <v>4.5</v>
      </c>
      <c r="G9" s="132" t="inlineStr">
        <is>
          <t>m3</t>
        </is>
      </c>
      <c r="H9" s="143" t="inlineStr">
        <is>
          <t>PM</t>
        </is>
      </c>
      <c r="I9" s="143" t="inlineStr">
        <is>
          <t>OWN</t>
        </is>
      </c>
      <c r="J9" s="146" t="n">
        <v>18900</v>
      </c>
      <c r="K9" s="132" t="n">
        <v>2017</v>
      </c>
      <c r="L9" s="143" t="inlineStr">
        <is>
          <t>Workshop</t>
        </is>
      </c>
      <c r="M9" s="103" t="inlineStr">
        <is>
          <t>PM 500 jam</t>
        </is>
      </c>
    </row>
    <row r="10" ht="15" customHeight="1" s="97">
      <c r="A10" s="129" t="n">
        <v>5</v>
      </c>
      <c r="B10" s="143" t="inlineStr">
        <is>
          <t>EX-05</t>
        </is>
      </c>
      <c r="C10" s="129" t="inlineStr">
        <is>
          <t>Excavator</t>
        </is>
      </c>
      <c r="D10" s="127" t="inlineStr">
        <is>
          <t>Hitachi EX1200-7</t>
        </is>
      </c>
      <c r="E10" s="129" t="inlineStr">
        <is>
          <t>120 t</t>
        </is>
      </c>
      <c r="F10" s="151" t="n">
        <v>7</v>
      </c>
      <c r="G10" s="129" t="inlineStr">
        <is>
          <t>m3</t>
        </is>
      </c>
      <c r="H10" s="143" t="inlineStr">
        <is>
          <t>OPERASI</t>
        </is>
      </c>
      <c r="I10" s="143" t="inlineStr">
        <is>
          <t>OWN</t>
        </is>
      </c>
      <c r="J10" s="146" t="n">
        <v>9800</v>
      </c>
      <c r="K10" s="129" t="n">
        <v>2021</v>
      </c>
      <c r="L10" s="143" t="inlineStr">
        <is>
          <t>Front OB-2</t>
        </is>
      </c>
      <c r="M10" s="103" t="inlineStr">
        <is>
          <t>Loading OB</t>
        </is>
      </c>
    </row>
    <row r="11" ht="15" customHeight="1" s="97">
      <c r="A11" s="132" t="n">
        <v>6</v>
      </c>
      <c r="B11" s="143" t="inlineStr">
        <is>
          <t>EX-06</t>
        </is>
      </c>
      <c r="C11" s="132" t="inlineStr">
        <is>
          <t>Excavator</t>
        </is>
      </c>
      <c r="D11" s="122" t="inlineStr">
        <is>
          <t>Komatsu PC1250-11</t>
        </is>
      </c>
      <c r="E11" s="132" t="inlineStr">
        <is>
          <t>120 t</t>
        </is>
      </c>
      <c r="F11" s="152" t="n">
        <v>7</v>
      </c>
      <c r="G11" s="132" t="inlineStr">
        <is>
          <t>m3</t>
        </is>
      </c>
      <c r="H11" s="143" t="inlineStr">
        <is>
          <t>BREAKDOWN</t>
        </is>
      </c>
      <c r="I11" s="143" t="inlineStr">
        <is>
          <t>OWN</t>
        </is>
      </c>
      <c r="J11" s="146" t="n">
        <v>15400</v>
      </c>
      <c r="K11" s="132" t="n">
        <v>2018</v>
      </c>
      <c r="L11" s="143" t="inlineStr">
        <is>
          <t>Workshop</t>
        </is>
      </c>
      <c r="M11" s="103" t="inlineStr">
        <is>
          <t>Final drive</t>
        </is>
      </c>
    </row>
    <row r="12" ht="15" customHeight="1" s="97">
      <c r="A12" s="129" t="n">
        <v>7</v>
      </c>
      <c r="B12" s="143" t="inlineStr">
        <is>
          <t>DT-01</t>
        </is>
      </c>
      <c r="C12" s="129" t="inlineStr">
        <is>
          <t>Dump Truck</t>
        </is>
      </c>
      <c r="D12" s="127" t="inlineStr">
        <is>
          <t>Komatsu HD785-7</t>
        </is>
      </c>
      <c r="E12" s="129" t="inlineStr">
        <is>
          <t>100 t</t>
        </is>
      </c>
      <c r="F12" s="151" t="n">
        <v>60</v>
      </c>
      <c r="G12" s="129" t="inlineStr">
        <is>
          <t>m3</t>
        </is>
      </c>
      <c r="H12" s="143" t="inlineStr">
        <is>
          <t>OPERASI</t>
        </is>
      </c>
      <c r="I12" s="143" t="inlineStr">
        <is>
          <t>OWN</t>
        </is>
      </c>
      <c r="J12" s="146" t="n">
        <v>20110</v>
      </c>
      <c r="K12" s="129" t="n">
        <v>2016</v>
      </c>
      <c r="L12" s="143" t="inlineStr">
        <is>
          <t>Front OB-1</t>
        </is>
      </c>
      <c r="M12" s="103" t="inlineStr">
        <is>
          <t>Haul OB</t>
        </is>
      </c>
    </row>
    <row r="13" ht="15" customHeight="1" s="97">
      <c r="A13" s="132" t="n">
        <v>8</v>
      </c>
      <c r="B13" s="143" t="inlineStr">
        <is>
          <t>DT-02</t>
        </is>
      </c>
      <c r="C13" s="132" t="inlineStr">
        <is>
          <t>Dump Truck</t>
        </is>
      </c>
      <c r="D13" s="122" t="inlineStr">
        <is>
          <t>Komatsu HD785-7</t>
        </is>
      </c>
      <c r="E13" s="132" t="inlineStr">
        <is>
          <t>100 t</t>
        </is>
      </c>
      <c r="F13" s="152" t="n">
        <v>60</v>
      </c>
      <c r="G13" s="132" t="inlineStr">
        <is>
          <t>m3</t>
        </is>
      </c>
      <c r="H13" s="143" t="inlineStr">
        <is>
          <t>OPERASI</t>
        </is>
      </c>
      <c r="I13" s="143" t="inlineStr">
        <is>
          <t>OWN</t>
        </is>
      </c>
      <c r="J13" s="146" t="n">
        <v>17640</v>
      </c>
      <c r="K13" s="132" t="n">
        <v>2017</v>
      </c>
      <c r="L13" s="143" t="inlineStr">
        <is>
          <t>Front OB-1</t>
        </is>
      </c>
      <c r="M13" s="103" t="inlineStr">
        <is>
          <t>Haul OB</t>
        </is>
      </c>
    </row>
    <row r="14" ht="15" customHeight="1" s="97">
      <c r="A14" s="129" t="n">
        <v>9</v>
      </c>
      <c r="B14" s="143" t="inlineStr">
        <is>
          <t>DT-03</t>
        </is>
      </c>
      <c r="C14" s="129" t="inlineStr">
        <is>
          <t>Dump Truck</t>
        </is>
      </c>
      <c r="D14" s="127" t="inlineStr">
        <is>
          <t>Komatsu HD785-7</t>
        </is>
      </c>
      <c r="E14" s="129" t="inlineStr">
        <is>
          <t>100 t</t>
        </is>
      </c>
      <c r="F14" s="151" t="n">
        <v>60</v>
      </c>
      <c r="G14" s="129" t="inlineStr">
        <is>
          <t>m3</t>
        </is>
      </c>
      <c r="H14" s="143" t="inlineStr">
        <is>
          <t>OPERASI</t>
        </is>
      </c>
      <c r="I14" s="143" t="inlineStr">
        <is>
          <t>RENTAL</t>
        </is>
      </c>
      <c r="J14" s="146" t="n">
        <v>8900</v>
      </c>
      <c r="K14" s="129" t="n">
        <v>2020</v>
      </c>
      <c r="L14" s="143" t="inlineStr">
        <is>
          <t>Front OB-2</t>
        </is>
      </c>
      <c r="M14" s="103" t="inlineStr">
        <is>
          <t>Haul OB</t>
        </is>
      </c>
    </row>
    <row r="15" ht="15" customHeight="1" s="97">
      <c r="A15" s="132" t="n">
        <v>10</v>
      </c>
      <c r="B15" s="143" t="inlineStr">
        <is>
          <t>DT-04</t>
        </is>
      </c>
      <c r="C15" s="132" t="inlineStr">
        <is>
          <t>Dump Truck</t>
        </is>
      </c>
      <c r="D15" s="122" t="inlineStr">
        <is>
          <t>Komatsu HD785-7</t>
        </is>
      </c>
      <c r="E15" s="132" t="inlineStr">
        <is>
          <t>100 t</t>
        </is>
      </c>
      <c r="F15" s="152" t="n">
        <v>60</v>
      </c>
      <c r="G15" s="132" t="inlineStr">
        <is>
          <t>m3</t>
        </is>
      </c>
      <c r="H15" s="143" t="inlineStr">
        <is>
          <t>OPERASI</t>
        </is>
      </c>
      <c r="I15" s="143" t="inlineStr">
        <is>
          <t>OWN</t>
        </is>
      </c>
      <c r="J15" s="146" t="n">
        <v>22100</v>
      </c>
      <c r="K15" s="132" t="n">
        <v>2015</v>
      </c>
      <c r="L15" s="143" t="inlineStr">
        <is>
          <t>Front OB-2</t>
        </is>
      </c>
      <c r="M15" s="103" t="inlineStr">
        <is>
          <t>Haul OB</t>
        </is>
      </c>
    </row>
    <row r="16" ht="15" customHeight="1" s="97">
      <c r="A16" s="129" t="n">
        <v>11</v>
      </c>
      <c r="B16" s="143" t="inlineStr">
        <is>
          <t>DT-05</t>
        </is>
      </c>
      <c r="C16" s="129" t="inlineStr">
        <is>
          <t>Dump Truck</t>
        </is>
      </c>
      <c r="D16" s="127" t="inlineStr">
        <is>
          <t>Komatsu HD785-7</t>
        </is>
      </c>
      <c r="E16" s="129" t="inlineStr">
        <is>
          <t>100 t</t>
        </is>
      </c>
      <c r="F16" s="151" t="n">
        <v>60</v>
      </c>
      <c r="G16" s="129" t="inlineStr">
        <is>
          <t>m3</t>
        </is>
      </c>
      <c r="H16" s="143" t="inlineStr">
        <is>
          <t>STANDBY</t>
        </is>
      </c>
      <c r="I16" s="143" t="inlineStr">
        <is>
          <t>OWN</t>
        </is>
      </c>
      <c r="J16" s="146" t="n">
        <v>19800</v>
      </c>
      <c r="K16" s="129" t="n">
        <v>2016</v>
      </c>
      <c r="L16" s="143" t="inlineStr">
        <is>
          <t>Parkir</t>
        </is>
      </c>
      <c r="M16" s="103" t="inlineStr">
        <is>
          <t>Ban aus</t>
        </is>
      </c>
    </row>
    <row r="17" ht="15" customHeight="1" s="97">
      <c r="A17" s="132" t="n">
        <v>12</v>
      </c>
      <c r="B17" s="143" t="inlineStr">
        <is>
          <t>DT-06</t>
        </is>
      </c>
      <c r="C17" s="132" t="inlineStr">
        <is>
          <t>Dump Truck</t>
        </is>
      </c>
      <c r="D17" s="122" t="inlineStr">
        <is>
          <t>Sany SKT90S</t>
        </is>
      </c>
      <c r="E17" s="132" t="inlineStr">
        <is>
          <t>90 t</t>
        </is>
      </c>
      <c r="F17" s="152" t="n">
        <v>50</v>
      </c>
      <c r="G17" s="132" t="inlineStr">
        <is>
          <t>m3</t>
        </is>
      </c>
      <c r="H17" s="143" t="inlineStr">
        <is>
          <t>OPERASI</t>
        </is>
      </c>
      <c r="I17" s="143" t="inlineStr">
        <is>
          <t>RENTAL</t>
        </is>
      </c>
      <c r="J17" s="146" t="n">
        <v>4100</v>
      </c>
      <c r="K17" s="132" t="n">
        <v>2023</v>
      </c>
      <c r="L17" s="143" t="inlineStr">
        <is>
          <t>Front OB-1</t>
        </is>
      </c>
      <c r="M17" s="103" t="inlineStr">
        <is>
          <t>Haul OB</t>
        </is>
      </c>
    </row>
    <row r="18" ht="15" customHeight="1" s="97">
      <c r="A18" s="129" t="n">
        <v>13</v>
      </c>
      <c r="B18" s="143" t="inlineStr">
        <is>
          <t>DT-07</t>
        </is>
      </c>
      <c r="C18" s="129" t="inlineStr">
        <is>
          <t>Dump Truck</t>
        </is>
      </c>
      <c r="D18" s="127" t="inlineStr">
        <is>
          <t>Sany SKT90S</t>
        </is>
      </c>
      <c r="E18" s="129" t="inlineStr">
        <is>
          <t>90 t</t>
        </is>
      </c>
      <c r="F18" s="151" t="n">
        <v>50</v>
      </c>
      <c r="G18" s="129" t="inlineStr">
        <is>
          <t>m3</t>
        </is>
      </c>
      <c r="H18" s="143" t="inlineStr">
        <is>
          <t>OPERASI</t>
        </is>
      </c>
      <c r="I18" s="143" t="inlineStr">
        <is>
          <t>RENTAL</t>
        </is>
      </c>
      <c r="J18" s="146" t="n">
        <v>3850</v>
      </c>
      <c r="K18" s="129" t="n">
        <v>2023</v>
      </c>
      <c r="L18" s="143" t="inlineStr">
        <is>
          <t>Front OB-2</t>
        </is>
      </c>
      <c r="M18" s="103" t="inlineStr">
        <is>
          <t>Haul OB</t>
        </is>
      </c>
    </row>
    <row r="19" ht="15" customHeight="1" s="97">
      <c r="A19" s="132" t="n">
        <v>14</v>
      </c>
      <c r="B19" s="143" t="inlineStr">
        <is>
          <t>DT-08</t>
        </is>
      </c>
      <c r="C19" s="132" t="inlineStr">
        <is>
          <t>Dump Truck</t>
        </is>
      </c>
      <c r="D19" s="122" t="inlineStr">
        <is>
          <t>Hino FM 260 TI</t>
        </is>
      </c>
      <c r="E19" s="132" t="inlineStr">
        <is>
          <t>20 t</t>
        </is>
      </c>
      <c r="F19" s="152" t="n">
        <v>12</v>
      </c>
      <c r="G19" s="132" t="inlineStr">
        <is>
          <t>m3</t>
        </is>
      </c>
      <c r="H19" s="143" t="inlineStr">
        <is>
          <t>OPERASI</t>
        </is>
      </c>
      <c r="I19" s="143" t="inlineStr">
        <is>
          <t>OWN</t>
        </is>
      </c>
      <c r="J19" s="146" t="n">
        <v>24500</v>
      </c>
      <c r="K19" s="132" t="n">
        <v>2014</v>
      </c>
      <c r="L19" s="143" t="inlineStr">
        <is>
          <t>Front Coal</t>
        </is>
      </c>
      <c r="M19" s="103" t="inlineStr">
        <is>
          <t>Haul coal</t>
        </is>
      </c>
    </row>
    <row r="20" ht="15" customHeight="1" s="97">
      <c r="A20" s="129" t="n">
        <v>15</v>
      </c>
      <c r="B20" s="143" t="inlineStr">
        <is>
          <t>DT-09</t>
        </is>
      </c>
      <c r="C20" s="129" t="inlineStr">
        <is>
          <t>Dump Truck</t>
        </is>
      </c>
      <c r="D20" s="127" t="inlineStr">
        <is>
          <t>Hino FM 260 TI</t>
        </is>
      </c>
      <c r="E20" s="129" t="inlineStr">
        <is>
          <t>20 t</t>
        </is>
      </c>
      <c r="F20" s="151" t="n">
        <v>12</v>
      </c>
      <c r="G20" s="129" t="inlineStr">
        <is>
          <t>m3</t>
        </is>
      </c>
      <c r="H20" s="143" t="inlineStr">
        <is>
          <t>OPERASI</t>
        </is>
      </c>
      <c r="I20" s="143" t="inlineStr">
        <is>
          <t>OWN</t>
        </is>
      </c>
      <c r="J20" s="146" t="n">
        <v>23100</v>
      </c>
      <c r="K20" s="129" t="n">
        <v>2015</v>
      </c>
      <c r="L20" s="143" t="inlineStr">
        <is>
          <t>Front Coal</t>
        </is>
      </c>
      <c r="M20" s="103" t="inlineStr">
        <is>
          <t>Haul coal</t>
        </is>
      </c>
    </row>
    <row r="21" ht="15" customHeight="1" s="97">
      <c r="A21" s="132" t="n">
        <v>16</v>
      </c>
      <c r="B21" s="143" t="inlineStr">
        <is>
          <t>DT-10</t>
        </is>
      </c>
      <c r="C21" s="132" t="inlineStr">
        <is>
          <t>Dump Truck</t>
        </is>
      </c>
      <c r="D21" s="122" t="inlineStr">
        <is>
          <t>Hino FM 260 TI</t>
        </is>
      </c>
      <c r="E21" s="132" t="inlineStr">
        <is>
          <t>20 t</t>
        </is>
      </c>
      <c r="F21" s="152" t="n">
        <v>12</v>
      </c>
      <c r="G21" s="132" t="inlineStr">
        <is>
          <t>m3</t>
        </is>
      </c>
      <c r="H21" s="143" t="inlineStr">
        <is>
          <t>WAITING PART</t>
        </is>
      </c>
      <c r="I21" s="143" t="inlineStr">
        <is>
          <t>OWN</t>
        </is>
      </c>
      <c r="J21" s="146" t="n">
        <v>26800</v>
      </c>
      <c r="K21" s="132" t="n">
        <v>2013</v>
      </c>
      <c r="L21" s="143" t="inlineStr">
        <is>
          <t>Workshop</t>
        </is>
      </c>
      <c r="M21" s="103" t="inlineStr">
        <is>
          <t>Injector</t>
        </is>
      </c>
    </row>
    <row r="22" ht="15" customHeight="1" s="97">
      <c r="A22" s="129" t="n">
        <v>17</v>
      </c>
      <c r="B22" s="143" t="inlineStr">
        <is>
          <t>DZ-01</t>
        </is>
      </c>
      <c r="C22" s="129" t="inlineStr">
        <is>
          <t>Dozer</t>
        </is>
      </c>
      <c r="D22" s="127" t="inlineStr">
        <is>
          <t>Komatsu D155A-6</t>
        </is>
      </c>
      <c r="E22" s="129" t="inlineStr">
        <is>
          <t>40 t</t>
        </is>
      </c>
      <c r="F22" s="151" t="n">
        <v>0</v>
      </c>
      <c r="G22" s="129" t="inlineStr">
        <is>
          <t>blade</t>
        </is>
      </c>
      <c r="H22" s="143" t="inlineStr">
        <is>
          <t>OPERASI</t>
        </is>
      </c>
      <c r="I22" s="143" t="inlineStr">
        <is>
          <t>OWN</t>
        </is>
      </c>
      <c r="J22" s="146" t="n">
        <v>16200</v>
      </c>
      <c r="K22" s="129" t="n">
        <v>2018</v>
      </c>
      <c r="L22" s="143" t="inlineStr">
        <is>
          <t>Disposal</t>
        </is>
      </c>
      <c r="M22" s="103" t="inlineStr">
        <is>
          <t>Spreading</t>
        </is>
      </c>
    </row>
    <row r="23" ht="15" customHeight="1" s="97">
      <c r="A23" s="132" t="n">
        <v>18</v>
      </c>
      <c r="B23" s="143" t="inlineStr">
        <is>
          <t>DZ-02</t>
        </is>
      </c>
      <c r="C23" s="132" t="inlineStr">
        <is>
          <t>Dozer</t>
        </is>
      </c>
      <c r="D23" s="122" t="inlineStr">
        <is>
          <t>Komatsu D85ESS-2</t>
        </is>
      </c>
      <c r="E23" s="132" t="inlineStr">
        <is>
          <t>24 t</t>
        </is>
      </c>
      <c r="F23" s="152" t="n">
        <v>0</v>
      </c>
      <c r="G23" s="132" t="inlineStr">
        <is>
          <t>blade</t>
        </is>
      </c>
      <c r="H23" s="143" t="inlineStr">
        <is>
          <t>OPERASI</t>
        </is>
      </c>
      <c r="I23" s="143" t="inlineStr">
        <is>
          <t>OWN</t>
        </is>
      </c>
      <c r="J23" s="146" t="n">
        <v>14100</v>
      </c>
      <c r="K23" s="132" t="n">
        <v>2019</v>
      </c>
      <c r="L23" s="143" t="inlineStr">
        <is>
          <t>Haul road</t>
        </is>
      </c>
      <c r="M23" s="103" t="inlineStr">
        <is>
          <t>Road maint.</t>
        </is>
      </c>
    </row>
    <row r="24" ht="15" customHeight="1" s="97">
      <c r="A24" s="129" t="n">
        <v>19</v>
      </c>
      <c r="B24" s="143" t="inlineStr">
        <is>
          <t>GR-01</t>
        </is>
      </c>
      <c r="C24" s="129" t="inlineStr">
        <is>
          <t>Grader</t>
        </is>
      </c>
      <c r="D24" s="127" t="inlineStr">
        <is>
          <t>Komatsu GD825A-2</t>
        </is>
      </c>
      <c r="E24" s="129" t="inlineStr">
        <is>
          <t>20 t</t>
        </is>
      </c>
      <c r="F24" s="151" t="n">
        <v>0</v>
      </c>
      <c r="G24" s="129" t="inlineStr">
        <is>
          <t>blade</t>
        </is>
      </c>
      <c r="H24" s="143" t="inlineStr">
        <is>
          <t>OPERASI</t>
        </is>
      </c>
      <c r="I24" s="143" t="inlineStr">
        <is>
          <t>OWN</t>
        </is>
      </c>
      <c r="J24" s="146" t="n">
        <v>11200</v>
      </c>
      <c r="K24" s="129" t="n">
        <v>2019</v>
      </c>
      <c r="L24" s="143" t="inlineStr">
        <is>
          <t>Haul road</t>
        </is>
      </c>
      <c r="M24" s="103" t="inlineStr">
        <is>
          <t>Grading</t>
        </is>
      </c>
    </row>
    <row r="25" ht="15" customHeight="1" s="97">
      <c r="A25" s="132" t="n">
        <v>20</v>
      </c>
      <c r="B25" s="143" t="inlineStr">
        <is>
          <t>WT-01</t>
        </is>
      </c>
      <c r="C25" s="132" t="inlineStr">
        <is>
          <t>Water Truck</t>
        </is>
      </c>
      <c r="D25" s="122" t="inlineStr">
        <is>
          <t>Hino 500 + tangki 16 kL</t>
        </is>
      </c>
      <c r="E25" s="132" t="inlineStr">
        <is>
          <t>16 kL</t>
        </is>
      </c>
      <c r="F25" s="152" t="n">
        <v>16</v>
      </c>
      <c r="G25" s="132" t="inlineStr">
        <is>
          <t>kL</t>
        </is>
      </c>
      <c r="H25" s="143" t="inlineStr">
        <is>
          <t>OPERASI</t>
        </is>
      </c>
      <c r="I25" s="143" t="inlineStr">
        <is>
          <t>OWN</t>
        </is>
      </c>
      <c r="J25" s="146" t="n">
        <v>9800</v>
      </c>
      <c r="K25" s="132" t="n">
        <v>2018</v>
      </c>
      <c r="L25" s="143" t="inlineStr">
        <is>
          <t>Haul road</t>
        </is>
      </c>
      <c r="M25" s="103" t="inlineStr">
        <is>
          <t>Dust suppress</t>
        </is>
      </c>
    </row>
    <row r="26" ht="15" customHeight="1" s="97">
      <c r="A26" s="129" t="n">
        <v>21</v>
      </c>
      <c r="B26" s="143" t="inlineStr">
        <is>
          <t>WL-01</t>
        </is>
      </c>
      <c r="C26" s="129" t="inlineStr">
        <is>
          <t>Wheel Loader</t>
        </is>
      </c>
      <c r="D26" s="127" t="inlineStr">
        <is>
          <t>Kawasaki 90ZV</t>
        </is>
      </c>
      <c r="E26" s="129" t="inlineStr">
        <is>
          <t>7 m3</t>
        </is>
      </c>
      <c r="F26" s="151" t="n">
        <v>7</v>
      </c>
      <c r="G26" s="129" t="inlineStr">
        <is>
          <t>m3</t>
        </is>
      </c>
      <c r="H26" s="143" t="inlineStr">
        <is>
          <t>STANDBY</t>
        </is>
      </c>
      <c r="I26" s="143" t="inlineStr">
        <is>
          <t>OWN</t>
        </is>
      </c>
      <c r="J26" s="146" t="n">
        <v>13400</v>
      </c>
      <c r="K26" s="129" t="n">
        <v>2017</v>
      </c>
      <c r="L26" s="143" t="inlineStr">
        <is>
          <t>ROM stockpile</t>
        </is>
      </c>
      <c r="M26" s="103" t="inlineStr">
        <is>
          <t>Coal load</t>
        </is>
      </c>
    </row>
    <row r="27" ht="15" customHeight="1" s="97">
      <c r="A27" s="132" t="n">
        <v>22</v>
      </c>
      <c r="B27" s="143" t="inlineStr">
        <is>
          <t>CP-01</t>
        </is>
      </c>
      <c r="C27" s="132" t="inlineStr">
        <is>
          <t>Compactor</t>
        </is>
      </c>
      <c r="D27" s="122" t="inlineStr">
        <is>
          <t>Bomag BW 212</t>
        </is>
      </c>
      <c r="E27" s="132" t="inlineStr">
        <is>
          <t>12 t</t>
        </is>
      </c>
      <c r="F27" s="152" t="n">
        <v>0</v>
      </c>
      <c r="G27" s="132" t="inlineStr">
        <is>
          <t>t</t>
        </is>
      </c>
      <c r="H27" s="143" t="inlineStr">
        <is>
          <t>OPERASI</t>
        </is>
      </c>
      <c r="I27" s="143" t="inlineStr">
        <is>
          <t>RENTAL</t>
        </is>
      </c>
      <c r="J27" s="146" t="n">
        <v>3200</v>
      </c>
      <c r="K27" s="132" t="n">
        <v>2022</v>
      </c>
      <c r="L27" s="143" t="inlineStr">
        <is>
          <t>Haul road</t>
        </is>
      </c>
      <c r="M27" s="103" t="inlineStr">
        <is>
          <t>Compact</t>
        </is>
      </c>
    </row>
    <row r="29" ht="15" customHeight="1" s="97">
      <c r="A29" s="153" t="inlineStr">
        <is>
          <t>REKAP STATUS FLEET</t>
        </is>
      </c>
    </row>
    <row r="30" ht="15" customHeight="1" s="97">
      <c r="A30" s="154" t="inlineStr">
        <is>
          <t>Total unit terdaftar</t>
        </is>
      </c>
      <c r="B30" s="104" t="n"/>
      <c r="C30" s="155">
        <f>COUNTA(B6:B27)</f>
        <v/>
      </c>
      <c r="E30" s="154" t="inlineStr">
        <is>
          <t>Excavator operasi</t>
        </is>
      </c>
      <c r="F30" s="104" t="n"/>
      <c r="G30" s="156">
        <f>COUNTIFS(C6:C27,"Excavator",H6:H27,"OPERASI")</f>
        <v/>
      </c>
      <c r="I30" s="157" t="inlineStr">
        <is>
          <t>PETUNJUK: Tambah baris unit di bawah data terakhir (baris 27). Salin format baris. Status wajib memakai dropdown. Sheet 04–08 membaca jumlah OPERASI dari kolom C dan H. Update SMH setiap minggu dari hour meter / FMS.</t>
        </is>
      </c>
      <c r="J30" s="107" t="n"/>
      <c r="K30" s="107" t="n"/>
      <c r="L30" s="107" t="n"/>
      <c r="M30" s="108" t="n"/>
    </row>
    <row r="31" ht="15" customHeight="1" s="97">
      <c r="A31" s="154" t="inlineStr">
        <is>
          <t>OPERASI</t>
        </is>
      </c>
      <c r="B31" s="104" t="n"/>
      <c r="C31" s="158">
        <f>COUNTIF(H6:H27,"OPERASI")</f>
        <v/>
      </c>
      <c r="E31" s="154" t="inlineStr">
        <is>
          <t>Dump Truck operasi</t>
        </is>
      </c>
      <c r="F31" s="104" t="n"/>
      <c r="G31" s="156">
        <f>COUNTIFS(C6:C27,"Dump Truck",H6:H27,"OPERASI")</f>
        <v/>
      </c>
      <c r="I31" s="109" t="n"/>
      <c r="M31" s="110" t="n"/>
    </row>
    <row r="32" ht="15" customHeight="1" s="97">
      <c r="A32" s="154" t="inlineStr">
        <is>
          <t>STANDBY</t>
        </is>
      </c>
      <c r="B32" s="104" t="n"/>
      <c r="C32" s="155">
        <f>COUNTIF(H6:H27,"STANDBY")</f>
        <v/>
      </c>
      <c r="E32" s="154" t="inlineStr">
        <is>
          <t>Dozer operasi</t>
        </is>
      </c>
      <c r="F32" s="104" t="n"/>
      <c r="G32" s="156">
        <f>COUNTIFS(C6:C27,"Dozer",H6:H27,"OPERASI")</f>
        <v/>
      </c>
      <c r="I32" s="109" t="n"/>
      <c r="M32" s="110" t="n"/>
    </row>
    <row r="33" ht="23.85" customHeight="1" s="97">
      <c r="A33" s="154" t="inlineStr">
        <is>
          <t>PM</t>
        </is>
      </c>
      <c r="B33" s="104" t="n"/>
      <c r="C33" s="155">
        <f>COUNTIF(H6:H27,"PM")</f>
        <v/>
      </c>
      <c r="E33" s="154" t="inlineStr">
        <is>
          <t>Pendukung operasi (GR/WT/WL/CP)</t>
        </is>
      </c>
      <c r="F33" s="104" t="n"/>
      <c r="G33" s="156">
        <f>COUNTIFS(C6:C27,"Grader",H6:H27,"OPERASI")+COUNTIFS(C6:C27,"Water Truck",H6:H27,"OPERASI")+COUNTIFS(C6:C27,"Wheel Loader",H6:H27,"OPERASI")+COUNTIFS(C6:C27,"Compactor",H6:H27,"OPERASI")</f>
        <v/>
      </c>
      <c r="I33" s="109" t="n"/>
      <c r="M33" s="110" t="n"/>
    </row>
    <row r="34" ht="15" customHeight="1" s="97">
      <c r="A34" s="154" t="inlineStr">
        <is>
          <t>BREAKDOWN</t>
        </is>
      </c>
      <c r="B34" s="104" t="n"/>
      <c r="C34" s="159">
        <f>COUNTIF(H6:H27,"BREAKDOWN")</f>
        <v/>
      </c>
      <c r="E34" s="154" t="inlineStr">
        <is>
          <t>Unit OWN</t>
        </is>
      </c>
      <c r="F34" s="104" t="n"/>
      <c r="G34" s="156">
        <f>COUNTIF(I6:I27,"OWN")</f>
        <v/>
      </c>
      <c r="I34" s="109" t="n"/>
      <c r="M34" s="110" t="n"/>
    </row>
    <row r="35" ht="15" customHeight="1" s="97">
      <c r="A35" s="154" t="inlineStr">
        <is>
          <t>WAITING PART</t>
        </is>
      </c>
      <c r="B35" s="104" t="n"/>
      <c r="C35" s="159">
        <f>COUNTIF(H6:H27,"WAITING PART")</f>
        <v/>
      </c>
      <c r="E35" s="154" t="inlineStr">
        <is>
          <t>Unit RENTAL</t>
        </is>
      </c>
      <c r="F35" s="104" t="n"/>
      <c r="G35" s="156">
        <f>COUNTIF(I6:I27,"RENTAL")</f>
        <v/>
      </c>
      <c r="I35" s="109" t="n"/>
      <c r="M35" s="110" t="n"/>
    </row>
    <row r="36" ht="15" customHeight="1" s="97">
      <c r="A36" s="154" t="inlineStr">
        <is>
          <t>% Operasi vs total</t>
        </is>
      </c>
      <c r="B36" s="104" t="n"/>
      <c r="C36" s="160">
        <f>IF(C30=0,0,C31/C30)</f>
        <v/>
      </c>
      <c r="E36" s="154" t="inlineStr">
        <is>
          <t>SMH rata-rata fleet</t>
        </is>
      </c>
      <c r="F36" s="104" t="n"/>
      <c r="G36" s="156">
        <f>IFERROR(AVERAGE(J6:J27),0)</f>
        <v/>
      </c>
      <c r="I36" s="112" t="n"/>
      <c r="J36" s="113" t="n"/>
      <c r="K36" s="113" t="n"/>
      <c r="L36" s="113" t="n"/>
      <c r="M36" s="114" t="n"/>
    </row>
  </sheetData>
  <autoFilter ref="A5:M27"/>
  <mergeCells count="19">
    <mergeCell ref="A30:B30"/>
    <mergeCell ref="E33:F33"/>
    <mergeCell ref="A36:B36"/>
    <mergeCell ref="E35:F35"/>
    <mergeCell ref="I30:M36"/>
    <mergeCell ref="A29:C29"/>
    <mergeCell ref="E31:F31"/>
    <mergeCell ref="E34:F34"/>
    <mergeCell ref="E30:F30"/>
    <mergeCell ref="A1:M1"/>
    <mergeCell ref="A33:B33"/>
    <mergeCell ref="A32:B32"/>
    <mergeCell ref="E36:F36"/>
    <mergeCell ref="A35:B35"/>
    <mergeCell ref="E32:F32"/>
    <mergeCell ref="A3:M3"/>
    <mergeCell ref="A31:B31"/>
    <mergeCell ref="A2:M2"/>
    <mergeCell ref="A34:B34"/>
  </mergeCells>
  <conditionalFormatting sqref="H6:H30">
    <cfRule type="expression" rank="0" priority="2" equalAverage="0" aboveAverage="0" dxfId="16" text="" percent="0" bottom="0">
      <formula>H6="OPERASI"</formula>
    </cfRule>
    <cfRule type="expression" rank="0" priority="3" equalAverage="0" aboveAverage="0" dxfId="17" text="" percent="0" bottom="0">
      <formula>H6="PM"</formula>
    </cfRule>
    <cfRule type="expression" rank="0" priority="4" equalAverage="0" aboveAverage="0" dxfId="18" text="" percent="0" bottom="0">
      <formula>OR(H6="BREAKDOWN",H6="WAITING PART")</formula>
    </cfRule>
    <cfRule type="expression" rank="0" priority="5" equalAverage="0" aboveAverage="0" dxfId="19" text="" percent="0" bottom="0">
      <formula>H6="STANDBY"</formula>
    </cfRule>
  </conditionalFormatting>
  <dataValidations count="3">
    <dataValidation sqref="H6:H40" showDropDown="0" showInputMessage="0" showErrorMessage="0" allowBlank="1" type="list" errorStyle="stop" operator="between">
      <formula1>"OPERASI,STANDBY,BREAKDOWN,PM,WAITING PART"</formula1>
      <formula2>0</formula2>
    </dataValidation>
    <dataValidation sqref="I6:I40" showDropDown="0" showInputMessage="0" showErrorMessage="0" allowBlank="1" type="list" errorStyle="stop" operator="between">
      <formula1>"OWN,RENTAL"</formula1>
      <formula2>0</formula2>
    </dataValidation>
    <dataValidation sqref="C6:C40" showDropDown="0" showInputMessage="0" showErrorMessage="0" allowBlank="1" type="list" errorStyle="stop" operator="between">
      <formula1>"Excavator,Dump Truck,Dozer,Grader,Wheel Loader,Water Truck,Compactor,Drilling Rig,Lainnya"</formula1>
      <formula2>0</formula2>
    </dataValidation>
  </dataValidations>
  <printOptions horizontalCentered="1" verticalCentered="0" headings="0" gridLines="0" gridLinesSet="1"/>
  <pageMargins left="0.75" right="0.75" top="1" bottom="1" header="0.5" footer="0.5"/>
  <pageSetup orientation="landscape" paperSize="9" scale="100" fitToHeight="1" fitToWidth="1" pageOrder="downThenOver" blackAndWhite="0" draft="0" horizontalDpi="300" verticalDpi="300" copies="1"/>
  <headerFooter differentOddEven="0" differentFirst="0">
    <oddHeader>&amp;L03_FLEET — Inventaris Alat Berat</oddHeader>
    <oddFooter>&amp;RHal. &amp;P /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B1:H39"/>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3" customWidth="1" style="96" min="1" max="1"/>
    <col width="36" customWidth="1" style="96" min="2" max="2"/>
    <col width="14" customWidth="1" style="96" min="3" max="7"/>
    <col width="28" customWidth="1" style="96" min="8" max="8"/>
  </cols>
  <sheetData>
    <row r="1" ht="25.5" customHeight="1" s="97">
      <c r="B1" s="98" t="inlineStr">
        <is>
          <t>PERHITUNGAN PRODUKTIVITAS ALAT GALI-MUAT &amp; ALAT ANGKUT</t>
        </is>
      </c>
    </row>
    <row r="2" ht="15" customHeight="1" s="97">
      <c r="B2" s="125" t="inlineStr">
        <is>
          <t>Rumus dasar: Q (BCM/jam) = (Kapasitas × Fill Factor / Swell × 3600 / Cycle Time detik) × PA × UA    |    Volume in-situ = BCM</t>
        </is>
      </c>
    </row>
    <row r="4" ht="15" customHeight="1" s="97">
      <c r="B4" s="126" t="inlineStr">
        <is>
          <t xml:space="preserve">  A. ALAT GALI-MUAT (Loading Tool / Excavator) — produksi per unit</t>
        </is>
      </c>
    </row>
    <row r="5" ht="15" customHeight="1" s="97">
      <c r="B5" s="115" t="inlineStr">
        <is>
          <t>Parameter</t>
        </is>
      </c>
      <c r="C5" s="115" t="inlineStr">
        <is>
          <t>EX 40 t</t>
        </is>
      </c>
      <c r="D5" s="115" t="inlineStr">
        <is>
          <t>EX 75–90 t</t>
        </is>
      </c>
      <c r="E5" s="115" t="inlineStr">
        <is>
          <t>EX 120 t</t>
        </is>
      </c>
      <c r="F5" s="115" t="inlineStr">
        <is>
          <t>EX Coal 40 t</t>
        </is>
      </c>
      <c r="G5" s="115" t="inlineStr">
        <is>
          <t>Satuan</t>
        </is>
      </c>
      <c r="H5" s="115" t="inlineStr">
        <is>
          <t>Sumber / rumus</t>
        </is>
      </c>
    </row>
    <row r="6" ht="15" customHeight="1" s="97">
      <c r="B6" s="127" t="inlineStr">
        <is>
          <t>Kapasitas bucket heaped</t>
        </is>
      </c>
      <c r="C6" s="161">
        <f>02_ASUMSI!G6</f>
        <v/>
      </c>
      <c r="D6" s="161">
        <f>02_ASUMSI!G7</f>
        <v/>
      </c>
      <c r="E6" s="161">
        <f>02_ASUMSI!G8</f>
        <v/>
      </c>
      <c r="F6" s="161">
        <f>02_ASUMSI!G6</f>
        <v/>
      </c>
      <c r="G6" s="129" t="inlineStr">
        <is>
          <t>m3</t>
        </is>
      </c>
      <c r="H6" s="130" t="inlineStr">
        <is>
          <t>Input asumsi</t>
        </is>
      </c>
    </row>
    <row r="7" ht="15" customHeight="1" s="97">
      <c r="B7" s="127" t="inlineStr">
        <is>
          <t>Fill Factor</t>
        </is>
      </c>
      <c r="C7" s="161">
        <f>02_ASUMSI!C20</f>
        <v/>
      </c>
      <c r="D7" s="161">
        <f>02_ASUMSI!C20</f>
        <v/>
      </c>
      <c r="E7" s="161">
        <f>02_ASUMSI!C20</f>
        <v/>
      </c>
      <c r="F7" s="161">
        <f>02_ASUMSI!C22</f>
        <v/>
      </c>
      <c r="G7" s="129" t="inlineStr">
        <is>
          <t>rasio</t>
        </is>
      </c>
      <c r="H7" s="130" t="inlineStr">
        <is>
          <t>Material</t>
        </is>
      </c>
    </row>
    <row r="8" ht="15" customHeight="1" s="97">
      <c r="B8" s="127" t="inlineStr">
        <is>
          <t>Swell Factor</t>
        </is>
      </c>
      <c r="C8" s="161">
        <f>02_ASUMSI!C19</f>
        <v/>
      </c>
      <c r="D8" s="161">
        <f>02_ASUMSI!C19</f>
        <v/>
      </c>
      <c r="E8" s="161">
        <f>02_ASUMSI!C19</f>
        <v/>
      </c>
      <c r="F8" s="161">
        <f>02_ASUMSI!C23</f>
        <v/>
      </c>
      <c r="G8" s="129" t="inlineStr">
        <is>
          <t>rasio</t>
        </is>
      </c>
      <c r="H8" s="130" t="inlineStr">
        <is>
          <t>LCM/BCM</t>
        </is>
      </c>
    </row>
    <row r="9" ht="15" customHeight="1" s="97">
      <c r="B9" s="127" t="inlineStr">
        <is>
          <t>Cycle time gali-muat</t>
        </is>
      </c>
      <c r="C9" s="161">
        <f>02_ASUMSI!G13</f>
        <v/>
      </c>
      <c r="D9" s="161">
        <f>02_ASUMSI!G14</f>
        <v/>
      </c>
      <c r="E9" s="161">
        <f>02_ASUMSI!G15</f>
        <v/>
      </c>
      <c r="F9" s="161">
        <f>02_ASUMSI!G13</f>
        <v/>
      </c>
      <c r="G9" s="129" t="inlineStr">
        <is>
          <t>detik</t>
        </is>
      </c>
      <c r="H9" s="130" t="inlineStr">
        <is>
          <t>Time study</t>
        </is>
      </c>
    </row>
    <row r="10" ht="15" customHeight="1" s="97">
      <c r="B10" s="127" t="inlineStr">
        <is>
          <t>PA</t>
        </is>
      </c>
      <c r="C10" s="160">
        <f>02_ASUMSI!C10</f>
        <v/>
      </c>
      <c r="D10" s="160">
        <f>02_ASUMSI!C10</f>
        <v/>
      </c>
      <c r="E10" s="160">
        <f>02_ASUMSI!C10</f>
        <v/>
      </c>
      <c r="F10" s="160">
        <f>02_ASUMSI!C10</f>
        <v/>
      </c>
      <c r="G10" s="129" t="inlineStr">
        <is>
          <t>rasio</t>
        </is>
      </c>
      <c r="H10" s="130" t="inlineStr">
        <is>
          <t>Asumsi</t>
        </is>
      </c>
    </row>
    <row r="11" ht="15" customHeight="1" s="97">
      <c r="B11" s="127" t="inlineStr">
        <is>
          <t>UA</t>
        </is>
      </c>
      <c r="C11" s="160">
        <f>02_ASUMSI!C11</f>
        <v/>
      </c>
      <c r="D11" s="160">
        <f>02_ASUMSI!C11</f>
        <v/>
      </c>
      <c r="E11" s="160">
        <f>02_ASUMSI!C11</f>
        <v/>
      </c>
      <c r="F11" s="160">
        <f>02_ASUMSI!C11</f>
        <v/>
      </c>
      <c r="G11" s="129" t="inlineStr">
        <is>
          <t>rasio</t>
        </is>
      </c>
      <c r="H11" s="130" t="inlineStr">
        <is>
          <t>Asumsi</t>
        </is>
      </c>
    </row>
    <row r="12" ht="15" customHeight="1" s="97">
      <c r="B12" s="162" t="inlineStr">
        <is>
          <t>Produksi teoritis per unit</t>
        </is>
      </c>
      <c r="C12" s="163">
        <f>IF(C9=0,0,(C6*C7/C8*3600/C9)*C10*C11)</f>
        <v/>
      </c>
      <c r="D12" s="163">
        <f>IF(D9=0,0,(D6*D7/D8*3600/D9)*D10*D11)</f>
        <v/>
      </c>
      <c r="E12" s="163">
        <f>IF(E9=0,0,(E6*E7/E8*3600/E9)*E10*E11)</f>
        <v/>
      </c>
      <c r="F12" s="163">
        <f>IF(F9=0,0,(F6*F7/F8*3600/F9)*F10*F11)</f>
        <v/>
      </c>
      <c r="G12" s="164" t="inlineStr">
        <is>
          <t>BCM/jam</t>
        </is>
      </c>
      <c r="H12" s="165" t="inlineStr">
        <is>
          <t>Sudah dikalikan PA × UA</t>
        </is>
      </c>
    </row>
    <row r="13" ht="15" customHeight="1" s="97">
      <c r="B13" s="166" t="inlineStr">
        <is>
          <t>Produksi per hari (jam efektif)</t>
        </is>
      </c>
      <c r="C13" s="167">
        <f>C12*02_ASUMSI!C13</f>
        <v/>
      </c>
      <c r="D13" s="167">
        <f>D12*02_ASUMSI!C13</f>
        <v/>
      </c>
      <c r="E13" s="167">
        <f>E12*02_ASUMSI!C13</f>
        <v/>
      </c>
      <c r="F13" s="167">
        <f>F12*02_ASUMSI!C13</f>
        <v/>
      </c>
      <c r="G13" s="141" t="inlineStr">
        <is>
          <t>BCM/hari</t>
        </is>
      </c>
      <c r="H13" s="142" t="inlineStr">
        <is>
          <t>× jam efektif harian</t>
        </is>
      </c>
    </row>
    <row r="14" ht="15" customHeight="1" s="97">
      <c r="B14" s="166" t="inlineStr">
        <is>
          <t>Produksi per bulan</t>
        </is>
      </c>
      <c r="C14" s="167">
        <f>C12*02_ASUMSI!C14</f>
        <v/>
      </c>
      <c r="D14" s="167">
        <f>D12*02_ASUMSI!C14</f>
        <v/>
      </c>
      <c r="E14" s="167">
        <f>E12*02_ASUMSI!C14</f>
        <v/>
      </c>
      <c r="F14" s="167">
        <f>F12*02_ASUMSI!C14</f>
        <v/>
      </c>
      <c r="G14" s="141" t="inlineStr">
        <is>
          <t>BCM/bulan</t>
        </is>
      </c>
      <c r="H14" s="142" t="inlineStr">
        <is>
          <t>× jam efektif bulanan</t>
        </is>
      </c>
    </row>
    <row r="16" ht="15" customHeight="1" s="97">
      <c r="B16" s="126" t="inlineStr">
        <is>
          <t xml:space="preserve">  B. ALAT ANGKUT (Hauler / Dump Truck) — cycle time &amp; produksi per unit</t>
        </is>
      </c>
    </row>
    <row r="17" ht="15" customHeight="1" s="97">
      <c r="B17" s="115" t="inlineStr">
        <is>
          <t>Parameter</t>
        </is>
      </c>
      <c r="C17" s="115" t="inlineStr">
        <is>
          <t>HD785 100 t</t>
        </is>
      </c>
      <c r="D17" s="115" t="inlineStr">
        <is>
          <t>SKT90 90 t</t>
        </is>
      </c>
      <c r="E17" s="115" t="inlineStr">
        <is>
          <t>Hino Coal 20 t</t>
        </is>
      </c>
      <c r="F17" s="115" t="n"/>
      <c r="G17" s="115" t="inlineStr">
        <is>
          <t>Satuan</t>
        </is>
      </c>
      <c r="H17" s="115" t="inlineStr">
        <is>
          <t>Sumber / rumus</t>
        </is>
      </c>
    </row>
    <row r="18" ht="15" customHeight="1" s="97">
      <c r="B18" s="127" t="inlineStr">
        <is>
          <t>Kapasitas bak (heaped)</t>
        </is>
      </c>
      <c r="C18" s="161">
        <f>02_ASUMSI!G12</f>
        <v/>
      </c>
      <c r="D18" s="131" t="n">
        <v>50</v>
      </c>
      <c r="E18" s="131" t="n">
        <v>12</v>
      </c>
      <c r="G18" s="129" t="inlineStr">
        <is>
          <t>m3 LCM</t>
        </is>
      </c>
      <c r="H18" s="130" t="inlineStr">
        <is>
          <t>Input / asumsi D</t>
        </is>
      </c>
    </row>
    <row r="19" ht="15" customHeight="1" s="97">
      <c r="B19" s="127" t="inlineStr">
        <is>
          <t>Fill factor bak</t>
        </is>
      </c>
      <c r="C19" s="143" t="n">
        <v>0.95</v>
      </c>
      <c r="D19" s="143" t="n">
        <v>0.92</v>
      </c>
      <c r="E19" s="143" t="n">
        <v>0.9</v>
      </c>
      <c r="G19" s="129" t="inlineStr">
        <is>
          <t>rasio</t>
        </is>
      </c>
      <c r="H19" s="130" t="inlineStr">
        <is>
          <t>Input planner</t>
        </is>
      </c>
    </row>
    <row r="20" ht="15" customHeight="1" s="97">
      <c r="B20" s="127" t="inlineStr">
        <is>
          <t>Volume terangkut per rit (LCM)</t>
        </is>
      </c>
      <c r="C20" s="161">
        <f>C18*C19</f>
        <v/>
      </c>
      <c r="D20" s="161">
        <f>D18*D19</f>
        <v/>
      </c>
      <c r="E20" s="161">
        <f>E18*E19</f>
        <v/>
      </c>
      <c r="G20" s="129" t="inlineStr">
        <is>
          <t>m3 LCM</t>
        </is>
      </c>
      <c r="H20" s="130" t="inlineStr">
        <is>
          <t>Kap × fill</t>
        </is>
      </c>
    </row>
    <row r="21" ht="15" customHeight="1" s="97">
      <c r="B21" s="127" t="inlineStr">
        <is>
          <t>Volume terangkut per rit (BCM)</t>
        </is>
      </c>
      <c r="C21" s="161">
        <f>C20/02_ASUMSI!C19</f>
        <v/>
      </c>
      <c r="D21" s="161">
        <f>D20/02_ASUMSI!C19</f>
        <v/>
      </c>
      <c r="E21" s="161">
        <f>E20/02_ASUMSI!C23</f>
        <v/>
      </c>
      <c r="G21" s="129" t="inlineStr">
        <is>
          <t>BCM</t>
        </is>
      </c>
      <c r="H21" s="130" t="inlineStr">
        <is>
          <t>LCM / swell</t>
        </is>
      </c>
    </row>
    <row r="22" ht="15" customHeight="1" s="97">
      <c r="B22" s="127" t="inlineStr">
        <is>
          <t>Jarak angkut one way</t>
        </is>
      </c>
      <c r="C22" s="161">
        <f>02_ASUMSI!C31</f>
        <v/>
      </c>
      <c r="D22" s="161">
        <f>02_ASUMSI!C31</f>
        <v/>
      </c>
      <c r="E22" s="131" t="n">
        <v>1.2</v>
      </c>
      <c r="G22" s="129" t="inlineStr">
        <is>
          <t>km</t>
        </is>
      </c>
      <c r="H22" s="130" t="inlineStr">
        <is>
          <t>Asumsi C</t>
        </is>
      </c>
    </row>
    <row r="23" ht="15" customHeight="1" s="97">
      <c r="B23" s="127" t="inlineStr">
        <is>
          <t>Kecepatan loaded</t>
        </is>
      </c>
      <c r="C23" s="161">
        <f>02_ASUMSI!C32</f>
        <v/>
      </c>
      <c r="D23" s="161">
        <f>02_ASUMSI!C32</f>
        <v/>
      </c>
      <c r="E23" s="131" t="n">
        <v>20</v>
      </c>
      <c r="G23" s="129" t="inlineStr">
        <is>
          <t>km/jam</t>
        </is>
      </c>
      <c r="H23" s="130" t="inlineStr">
        <is>
          <t>Asumsi C</t>
        </is>
      </c>
    </row>
    <row r="24" ht="15" customHeight="1" s="97">
      <c r="B24" s="127" t="inlineStr">
        <is>
          <t>Kecepatan empty</t>
        </is>
      </c>
      <c r="C24" s="161">
        <f>02_ASUMSI!C33</f>
        <v/>
      </c>
      <c r="D24" s="161">
        <f>02_ASUMSI!C33</f>
        <v/>
      </c>
      <c r="E24" s="131" t="n">
        <v>25</v>
      </c>
      <c r="G24" s="129" t="inlineStr">
        <is>
          <t>km/jam</t>
        </is>
      </c>
      <c r="H24" s="130" t="inlineStr">
        <is>
          <t>Asumsi C</t>
        </is>
      </c>
    </row>
    <row r="25" ht="15" customHeight="1" s="97">
      <c r="B25" s="127" t="inlineStr">
        <is>
          <t>Waktu haul loaded</t>
        </is>
      </c>
      <c r="C25" s="161">
        <f>IF(C23=0,0,C22/C23*60)</f>
        <v/>
      </c>
      <c r="D25" s="161">
        <f>IF(D23=0,0,D22/D23*60)</f>
        <v/>
      </c>
      <c r="E25" s="161">
        <f>IF(E23=0,0,E22/E23*60)</f>
        <v/>
      </c>
      <c r="G25" s="129" t="inlineStr">
        <is>
          <t>menit</t>
        </is>
      </c>
      <c r="H25" s="130" t="inlineStr">
        <is>
          <t>Jarak / v_load × 60</t>
        </is>
      </c>
    </row>
    <row r="26" ht="15" customHeight="1" s="97">
      <c r="B26" s="127" t="inlineStr">
        <is>
          <t>Waktu return empty</t>
        </is>
      </c>
      <c r="C26" s="161">
        <f>IF(C24=0,0,C22/C24*60)</f>
        <v/>
      </c>
      <c r="D26" s="161">
        <f>IF(D24=0,0,D22/D24*60)</f>
        <v/>
      </c>
      <c r="E26" s="161">
        <f>IF(E24=0,0,E22/E24*60)</f>
        <v/>
      </c>
      <c r="G26" s="129" t="inlineStr">
        <is>
          <t>menit</t>
        </is>
      </c>
      <c r="H26" s="130" t="inlineStr">
        <is>
          <t>Jarak / v_empty × 60</t>
        </is>
      </c>
    </row>
    <row r="27" ht="15" customHeight="1" s="97">
      <c r="B27" s="127" t="inlineStr">
        <is>
          <t>Waktu loading (menit)</t>
        </is>
      </c>
      <c r="C27" s="161">
        <f>02_ASUMSI!G19*02_ASUMSI!G15/60</f>
        <v/>
      </c>
      <c r="D27" s="161">
        <f>02_ASUMSI!G18*02_ASUMSI!G14/60</f>
        <v/>
      </c>
      <c r="E27" s="161">
        <f>02_ASUMSI!G17*02_ASUMSI!G13/60</f>
        <v/>
      </c>
      <c r="G27" s="129" t="inlineStr">
        <is>
          <t>menit</t>
        </is>
      </c>
      <c r="H27" s="130" t="inlineStr">
        <is>
          <t>Pass × Ct excavator</t>
        </is>
      </c>
    </row>
    <row r="28" ht="15" customHeight="1" s="97">
      <c r="B28" s="127" t="inlineStr">
        <is>
          <t>Spot + antri loading</t>
        </is>
      </c>
      <c r="C28" s="161">
        <f>02_ASUMSI!C34</f>
        <v/>
      </c>
      <c r="D28" s="161">
        <f>02_ASUMSI!C34</f>
        <v/>
      </c>
      <c r="E28" s="161">
        <f>02_ASUMSI!C34</f>
        <v/>
      </c>
      <c r="G28" s="129" t="inlineStr">
        <is>
          <t>menit</t>
        </is>
      </c>
      <c r="H28" s="130" t="inlineStr">
        <is>
          <t>Asumsi C</t>
        </is>
      </c>
    </row>
    <row r="29" ht="15" customHeight="1" s="97">
      <c r="B29" s="127" t="inlineStr">
        <is>
          <t>Dump + maneuver</t>
        </is>
      </c>
      <c r="C29" s="161">
        <f>02_ASUMSI!C35</f>
        <v/>
      </c>
      <c r="D29" s="161">
        <f>02_ASUMSI!C35</f>
        <v/>
      </c>
      <c r="E29" s="131" t="n">
        <v>0.7</v>
      </c>
      <c r="G29" s="129" t="inlineStr">
        <is>
          <t>menit</t>
        </is>
      </c>
      <c r="H29" s="130" t="inlineStr">
        <is>
          <t>Asumsi C</t>
        </is>
      </c>
    </row>
    <row r="30" ht="15" customHeight="1" s="97">
      <c r="B30" s="127" t="inlineStr">
        <is>
          <t>Faktor jalan licin / hujan</t>
        </is>
      </c>
      <c r="C30" s="161">
        <f>02_ASUMSI!C24</f>
        <v/>
      </c>
      <c r="D30" s="161">
        <f>02_ASUMSI!C24</f>
        <v/>
      </c>
      <c r="E30" s="161">
        <f>02_ASUMSI!C24</f>
        <v/>
      </c>
      <c r="G30" s="129" t="inlineStr">
        <is>
          <t>faktor</t>
        </is>
      </c>
      <c r="H30" s="130" t="inlineStr">
        <is>
          <t>Asumsi material</t>
        </is>
      </c>
    </row>
    <row r="31" ht="15" customHeight="1" s="97">
      <c r="B31" s="135" t="inlineStr">
        <is>
          <t>TOTAL CYCLE TIME</t>
        </is>
      </c>
      <c r="C31" s="136">
        <f>(C25+C26+C27+C28+C29)*C30</f>
        <v/>
      </c>
      <c r="D31" s="136">
        <f>(D25+D26+D27+D28+D29)*D30</f>
        <v/>
      </c>
      <c r="E31" s="136">
        <f>(E25+E26+E27+E28+E29)*E30</f>
        <v/>
      </c>
      <c r="F31" s="168" t="n"/>
      <c r="G31" s="169" t="inlineStr">
        <is>
          <t>menit/rit</t>
        </is>
      </c>
      <c r="H31" s="170" t="inlineStr">
        <is>
          <t>Jumlah komponen × faktor hujan</t>
        </is>
      </c>
    </row>
    <row r="32" ht="15" customHeight="1" s="97">
      <c r="B32" s="127" t="inlineStr">
        <is>
          <t>Ritase per jam efektif (sebelum PA/UA)</t>
        </is>
      </c>
      <c r="C32" s="161">
        <f>IF(C31=0,0,60/C31)</f>
        <v/>
      </c>
      <c r="D32" s="161">
        <f>IF(D31=0,0,60/D31)</f>
        <v/>
      </c>
      <c r="E32" s="161">
        <f>IF(E31=0,0,60/E31)</f>
        <v/>
      </c>
      <c r="G32" s="129" t="inlineStr">
        <is>
          <t>rit/jam</t>
        </is>
      </c>
      <c r="H32" s="130" t="inlineStr">
        <is>
          <t>60 / cycle time</t>
        </is>
      </c>
    </row>
    <row r="33" ht="15" customHeight="1" s="97">
      <c r="B33" s="135" t="inlineStr">
        <is>
          <t>Produksi teoritis per unit</t>
        </is>
      </c>
      <c r="C33" s="163">
        <f>C21*C32*02_ASUMSI!C10*02_ASUMSI!C11</f>
        <v/>
      </c>
      <c r="D33" s="163">
        <f>D21*D32*02_ASUMSI!C10*02_ASUMSI!C11</f>
        <v/>
      </c>
      <c r="E33" s="163">
        <f>E21*E32*02_ASUMSI!C10*02_ASUMSI!C11</f>
        <v/>
      </c>
      <c r="F33" s="168" t="n"/>
      <c r="G33" s="169" t="inlineStr">
        <is>
          <t>BCM/jam</t>
        </is>
      </c>
      <c r="H33" s="170" t="inlineStr">
        <is>
          <t>BCM/rit × rit/jam × PA × UA</t>
        </is>
      </c>
    </row>
    <row r="34" ht="15" customHeight="1" s="97">
      <c r="B34" s="139" t="inlineStr">
        <is>
          <t>Produksi per hari</t>
        </is>
      </c>
      <c r="C34" s="140">
        <f>C33*02_ASUMSI!C13</f>
        <v/>
      </c>
      <c r="D34" s="140">
        <f>D33*02_ASUMSI!C13</f>
        <v/>
      </c>
      <c r="E34" s="140">
        <f>E33*02_ASUMSI!C13</f>
        <v/>
      </c>
      <c r="F34" s="171" t="n"/>
      <c r="G34" s="172" t="inlineStr">
        <is>
          <t>BCM/hari</t>
        </is>
      </c>
      <c r="H34" s="173" t="inlineStr">
        <is>
          <t>× jam efektif hari</t>
        </is>
      </c>
    </row>
    <row r="35" ht="15" customHeight="1" s="97">
      <c r="B35" s="139" t="inlineStr">
        <is>
          <t>Produksi per bulan</t>
        </is>
      </c>
      <c r="C35" s="140">
        <f>C33*02_ASUMSI!C14</f>
        <v/>
      </c>
      <c r="D35" s="140">
        <f>D33*02_ASUMSI!C14</f>
        <v/>
      </c>
      <c r="E35" s="140">
        <f>E33*02_ASUMSI!C14</f>
        <v/>
      </c>
      <c r="F35" s="171" t="n"/>
      <c r="G35" s="172" t="inlineStr">
        <is>
          <t>BCM/bulan</t>
        </is>
      </c>
      <c r="H35" s="173" t="inlineStr">
        <is>
          <t>× jam efektif bulan</t>
        </is>
      </c>
    </row>
    <row r="37" ht="15" customHeight="1" s="97">
      <c r="B37" s="123" t="inlineStr">
        <is>
          <t>CATATAN PERHITUNGAN: Produktivitas di atas adalah TEORITIS setelah PA × UA. Di lapangan, kurangi lagi untuk crowding, blasting delay, fuel queue, dan interaksi traffic. Gunakan faktor koreksi 0,85–0,95 terhadap angka teoritis jika belum ada time study. Untuk coal pada kolom F (excavator) dan E (Hino), satuan BCM setara volume in-situ batubara; konversi ke ton = BCM × density (isi di asumsi bila diperlukan).</t>
        </is>
      </c>
      <c r="C37" s="107" t="n"/>
      <c r="D37" s="107" t="n"/>
      <c r="E37" s="107" t="n"/>
      <c r="F37" s="107" t="n"/>
      <c r="G37" s="107" t="n"/>
      <c r="H37" s="108" t="n"/>
    </row>
    <row r="38" ht="15" customHeight="1" s="97">
      <c r="B38" s="109" t="n"/>
      <c r="H38" s="110" t="n"/>
    </row>
    <row r="39" ht="15" customHeight="1" s="97">
      <c r="B39" s="112" t="n"/>
      <c r="C39" s="113" t="n"/>
      <c r="D39" s="113" t="n"/>
      <c r="E39" s="113" t="n"/>
      <c r="F39" s="113" t="n"/>
      <c r="G39" s="113" t="n"/>
      <c r="H39" s="114" t="n"/>
    </row>
  </sheetData>
  <mergeCells count="5">
    <mergeCell ref="B37:H39"/>
    <mergeCell ref="B1:H1"/>
    <mergeCell ref="B4:H4"/>
    <mergeCell ref="B16:H16"/>
    <mergeCell ref="B2:H2"/>
  </mergeCells>
  <printOptions horizontalCentered="1" verticalCentered="0" headings="0" gridLines="0" gridLinesSet="1"/>
  <pageMargins left="0.75" right="0.75" top="1" bottom="1" header="0.5" footer="0.511811023622047"/>
  <pageSetup orientation="landscape" paperSize="9" scale="100" fitToHeight="1" fitToWidth="1" pageOrder="downThenOver" blackAndWhite="0" draft="0" horizontalDpi="300" verticalDpi="300" copies="1"/>
  <headerFooter differentOddEven="0" differentFirst="0">
    <oddHeader>&amp;L04_PRODUKTIVITAS — Perhitungan Produksi Teoritis</oddHeader>
    <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B1:G32"/>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3" customWidth="1" style="96" min="1" max="1"/>
    <col width="38" customWidth="1" style="96" min="2" max="2"/>
    <col width="16" customWidth="1" style="96" min="3" max="5"/>
    <col width="22" customWidth="1" style="96" min="6" max="6"/>
    <col width="28" customWidth="1" style="96" min="7" max="7"/>
  </cols>
  <sheetData>
    <row r="1" ht="25.5" customHeight="1" s="97">
      <c r="B1" s="98" t="inlineStr">
        <is>
          <t>MATCH FACTOR &amp; SETTING FLEET</t>
        </is>
      </c>
    </row>
    <row r="2" ht="15" customHeight="1" s="97">
      <c r="B2" s="125" t="inlineStr">
        <is>
          <t>MF = (N_hauler × Ct_loader) / (N_loader × Ct_hauler)    •    Ct_loader dalam menit = cycle gali-muat    •    Ct_hauler = total cycle truck</t>
        </is>
      </c>
    </row>
    <row r="4" ht="15" customHeight="1" s="97">
      <c r="B4" s="126" t="inlineStr">
        <is>
          <t xml:space="preserve">  A. FLEET OB UTAMA — pairing excavator 120 t + HD785 class</t>
        </is>
      </c>
    </row>
    <row r="5" ht="15" customHeight="1" s="97">
      <c r="B5" s="115" t="inlineStr">
        <is>
          <t>Parameter</t>
        </is>
      </c>
      <c r="C5" s="115" t="inlineStr">
        <is>
          <t>Nilai</t>
        </is>
      </c>
      <c r="D5" s="115" t="inlineStr">
        <is>
          <t>Satuan</t>
        </is>
      </c>
      <c r="E5" s="115" t="inlineStr">
        <is>
          <t>Keterangan</t>
        </is>
      </c>
      <c r="F5" s="104" t="n"/>
      <c r="G5" s="105" t="n"/>
    </row>
    <row r="6" ht="15" customHeight="1" s="97">
      <c r="B6" s="127" t="inlineStr">
        <is>
          <t>Jumlah loader beroperasi (N_loader) — kelas 120 t</t>
        </is>
      </c>
      <c r="C6" s="174" t="n">
        <v>1</v>
      </c>
      <c r="D6" s="129" t="inlineStr">
        <is>
          <t>unit</t>
        </is>
      </c>
      <c r="E6" s="130" t="inlineStr">
        <is>
          <t>Isi sesuai front. Cek 03_FLEET status OPERASI.</t>
        </is>
      </c>
      <c r="F6" s="104" t="n"/>
      <c r="G6" s="105" t="n"/>
    </row>
    <row r="7" ht="23.85" customHeight="1" s="97">
      <c r="B7" s="127" t="inlineStr">
        <is>
          <t>Jumlah hauler beroperasi (N_hauler) — HD785/SKT90</t>
        </is>
      </c>
      <c r="C7" s="174" t="n">
        <v>6</v>
      </c>
      <c r="D7" s="129" t="inlineStr">
        <is>
          <t>unit</t>
        </is>
      </c>
      <c r="E7" s="130" t="inlineStr">
        <is>
          <t>DT operasi OB (bukan Hino coal).</t>
        </is>
      </c>
      <c r="F7" s="104" t="n"/>
      <c r="G7" s="105" t="n"/>
    </row>
    <row r="8" ht="15" customHeight="1" s="97">
      <c r="B8" s="127" t="inlineStr">
        <is>
          <t>Cycle time loader (Ct_loader)</t>
        </is>
      </c>
      <c r="C8" s="161">
        <f>02_ASUMSI!G15/60</f>
        <v/>
      </c>
      <c r="D8" s="129" t="inlineStr">
        <is>
          <t>menit/pass-cycle</t>
        </is>
      </c>
      <c r="E8" s="130" t="inlineStr">
        <is>
          <t>Cycle gali-muat 120 t (detik→menit). 1 cycle = 1 pass bucket.</t>
        </is>
      </c>
      <c r="F8" s="104" t="n"/>
      <c r="G8" s="105" t="n"/>
    </row>
    <row r="9" ht="15" customHeight="1" s="97">
      <c r="B9" s="127" t="inlineStr">
        <is>
          <t>Waktu muat 1 rit hauler (loading time)</t>
        </is>
      </c>
      <c r="C9" s="161">
        <f>04_PRODUKTIVITAS!C27</f>
        <v/>
      </c>
      <c r="D9" s="129" t="inlineStr">
        <is>
          <t>menit/rit</t>
        </is>
      </c>
      <c r="E9" s="130" t="inlineStr">
        <is>
          <t>Pass count × cycle loader. Inilah Ct_loader untuk rumus MF klasik.</t>
        </is>
      </c>
      <c r="F9" s="104" t="n"/>
      <c r="G9" s="105" t="n"/>
    </row>
    <row r="10" ht="15" customHeight="1" s="97">
      <c r="B10" s="127" t="inlineStr">
        <is>
          <t>Cycle time hauler total (Ct_hauler)</t>
        </is>
      </c>
      <c r="C10" s="161">
        <f>04_PRODUKTIVITAS!C31</f>
        <v/>
      </c>
      <c r="D10" s="129" t="inlineStr">
        <is>
          <t>menit/rit</t>
        </is>
      </c>
      <c r="E10" s="130" t="inlineStr">
        <is>
          <t>Load + haul + dump + return + spot, sudah × faktor hujan.</t>
        </is>
      </c>
      <c r="F10" s="104" t="n"/>
      <c r="G10" s="105" t="n"/>
    </row>
    <row r="11" ht="15" customHeight="1" s="97">
      <c r="B11" s="139" t="inlineStr">
        <is>
          <t>MATCH FACTOR (MF)</t>
        </is>
      </c>
      <c r="C11" s="148">
        <f>IF(OR(C6=0,C10=0),0,(C7*C9)/(C6*C10))</f>
        <v/>
      </c>
      <c r="D11" s="172" t="inlineStr">
        <is>
          <t>rasio</t>
        </is>
      </c>
      <c r="E11" s="173" t="inlineStr">
        <is>
          <t>Target kebijakan site biasanya 1,05 – 1,20</t>
        </is>
      </c>
      <c r="F11" s="104" t="n"/>
      <c r="G11" s="105" t="n"/>
    </row>
    <row r="12" ht="15" customHeight="1" s="97">
      <c r="B12" s="127" t="inlineStr">
        <is>
          <t>Interpretasi MF</t>
        </is>
      </c>
      <c r="C12" s="175">
        <f>IF(C11=0,"-"," "&amp;IF(C11&lt;0.9,"MF rendah: hauler kurang / loader idle tinggi",IF(C11&lt;=1.2,"MF seimbang: setting bagus",IF(C11&lt;=1.5,"MF tinggi: antrian hauler mulai panjang","MF sangat tinggi: hauler menganggur banyak"))))</f>
        <v/>
      </c>
      <c r="D12" s="104" t="n"/>
      <c r="E12" s="104" t="n"/>
      <c r="F12" s="104" t="n"/>
      <c r="G12" s="105" t="n"/>
    </row>
    <row r="13" ht="15" customHeight="1" s="97">
      <c r="B13" s="102" t="inlineStr">
        <is>
          <t>N_hauler ideal untuk MF = 1,10</t>
        </is>
      </c>
      <c r="C13" s="155">
        <f>IF(C9=0,0,ROUNDUP(1.1*C6*C10/C9,0))</f>
        <v/>
      </c>
      <c r="D13" s="129" t="inlineStr">
        <is>
          <t>unit</t>
        </is>
      </c>
      <c r="E13" s="130" t="inlineStr">
        <is>
          <t>Pembulatan ke atas. Kebijakan MF target 1,10.</t>
        </is>
      </c>
      <c r="F13" s="104" t="n"/>
      <c r="G13" s="105" t="n"/>
    </row>
    <row r="14" ht="15" customHeight="1" s="97">
      <c r="B14" s="127" t="inlineStr">
        <is>
          <t>Gap hauler (ideal − aktual)</t>
        </is>
      </c>
      <c r="C14" s="155">
        <f>C13-C7</f>
        <v/>
      </c>
      <c r="D14" s="129" t="inlineStr">
        <is>
          <t>unit</t>
        </is>
      </c>
      <c r="E14" s="130" t="inlineStr">
        <is>
          <t>Positif = perlu tambah DT; negatif = DT berlebih.</t>
        </is>
      </c>
      <c r="F14" s="104" t="n"/>
      <c r="G14" s="105" t="n"/>
    </row>
    <row r="16" ht="15" customHeight="1" s="97">
      <c r="B16" s="126" t="inlineStr">
        <is>
          <t xml:space="preserve">  B. FLEET COAL GETTING — pairing excavator 40 t + Hino</t>
        </is>
      </c>
    </row>
    <row r="17" ht="15" customHeight="1" s="97">
      <c r="B17" s="115" t="inlineStr">
        <is>
          <t>Parameter</t>
        </is>
      </c>
      <c r="C17" s="115" t="inlineStr">
        <is>
          <t>Nilai</t>
        </is>
      </c>
      <c r="D17" s="115" t="inlineStr">
        <is>
          <t>Satuan</t>
        </is>
      </c>
      <c r="E17" s="115" t="inlineStr">
        <is>
          <t>Keterangan</t>
        </is>
      </c>
      <c r="F17" s="104" t="n"/>
      <c r="G17" s="105" t="n"/>
    </row>
    <row r="18" ht="15" customHeight="1" s="97">
      <c r="B18" s="127" t="inlineStr">
        <is>
          <t>Jumlah loader coal (N_loader)</t>
        </is>
      </c>
      <c r="C18" s="143" t="n">
        <v>1</v>
      </c>
      <c r="D18" s="176" t="inlineStr">
        <is>
          <t>unit</t>
        </is>
      </c>
      <c r="E18" s="177" t="n"/>
      <c r="F18" s="104" t="n"/>
      <c r="G18" s="105" t="n"/>
    </row>
    <row r="19" ht="15" customHeight="1" s="97">
      <c r="B19" s="127" t="inlineStr">
        <is>
          <t>Jumlah hauler coal Hino (N_hauler)</t>
        </is>
      </c>
      <c r="C19" s="143" t="n">
        <v>2</v>
      </c>
      <c r="D19" s="176" t="inlineStr">
        <is>
          <t>unit</t>
        </is>
      </c>
      <c r="E19" s="177" t="n"/>
      <c r="F19" s="104" t="n"/>
      <c r="G19" s="105" t="n"/>
    </row>
    <row r="20" ht="15" customHeight="1" s="97">
      <c r="B20" s="127" t="inlineStr">
        <is>
          <t>Loading time 1 rit Hino</t>
        </is>
      </c>
      <c r="C20" s="161">
        <f>04_PRODUKTIVITAS!E27</f>
        <v/>
      </c>
      <c r="D20" s="176" t="inlineStr">
        <is>
          <t>menit/rit</t>
        </is>
      </c>
      <c r="E20" s="177" t="n"/>
      <c r="F20" s="104" t="n"/>
      <c r="G20" s="105" t="n"/>
    </row>
    <row r="21" ht="15" customHeight="1" s="97">
      <c r="B21" s="127" t="inlineStr">
        <is>
          <t>Cycle time Hino total</t>
        </is>
      </c>
      <c r="C21" s="161">
        <f>04_PRODUKTIVITAS!E31</f>
        <v/>
      </c>
      <c r="D21" s="176" t="inlineStr">
        <is>
          <t>menit/rit</t>
        </is>
      </c>
      <c r="E21" s="177" t="n"/>
      <c r="F21" s="104" t="n"/>
      <c r="G21" s="105" t="n"/>
    </row>
    <row r="22" ht="15" customHeight="1" s="97">
      <c r="B22" s="139" t="inlineStr">
        <is>
          <t>MATCH FACTOR coal</t>
        </is>
      </c>
      <c r="C22" s="148">
        <f>IF(OR(C18=0,C21=0),0,(C19*C20)/(C18*C21))</f>
        <v/>
      </c>
      <c r="D22" s="141" t="inlineStr">
        <is>
          <t>rasio</t>
        </is>
      </c>
      <c r="E22" s="149" t="n"/>
      <c r="F22" s="104" t="n"/>
      <c r="G22" s="105" t="n"/>
    </row>
    <row r="23" ht="15" customHeight="1" s="97">
      <c r="B23" s="127" t="inlineStr">
        <is>
          <t>Interpretasi MF coal</t>
        </is>
      </c>
      <c r="C23" s="178">
        <f>IF(C22=0,"-"," "&amp;IF(C22&lt;0.9,"Hauler coal kurang",IF(C22&lt;=1.25,"Setting coal cukup seimbang","Hauler coal berlebih / antri")))</f>
        <v/>
      </c>
      <c r="D23" s="104" t="n"/>
      <c r="E23" s="104" t="n"/>
      <c r="F23" s="104" t="n"/>
      <c r="G23" s="105" t="n"/>
    </row>
    <row r="24" ht="15" customHeight="1" s="97">
      <c r="B24" s="102" t="inlineStr">
        <is>
          <t>N_hauler coal ideal (MF 1,15)</t>
        </is>
      </c>
      <c r="C24" s="155">
        <f>IF(C20=0,0,ROUNDUP(1.15*C18*C21/C20,0))</f>
        <v/>
      </c>
      <c r="D24" s="176" t="inlineStr">
        <is>
          <t>unit</t>
        </is>
      </c>
      <c r="E24" s="177" t="n"/>
      <c r="F24" s="104" t="n"/>
      <c r="G24" s="105" t="n"/>
    </row>
    <row r="25" ht="15" customHeight="1" s="97">
      <c r="B25" s="127" t="inlineStr">
        <is>
          <t>Gap hauler coal</t>
        </is>
      </c>
      <c r="C25" s="155">
        <f>C24-C19</f>
        <v/>
      </c>
      <c r="D25" s="176" t="inlineStr">
        <is>
          <t>unit</t>
        </is>
      </c>
      <c r="E25" s="177" t="n"/>
      <c r="F25" s="104" t="n"/>
      <c r="G25" s="105" t="n"/>
    </row>
    <row r="27" ht="15" customHeight="1" s="97">
      <c r="B27" s="101" t="inlineStr">
        <is>
          <t xml:space="preserve">  C. PANDUAN INTERPRETASI MATCH FACTOR</t>
        </is>
      </c>
    </row>
    <row r="28" ht="19.5" customHeight="1" s="97">
      <c r="B28" s="179" t="inlineStr">
        <is>
          <t>MF &lt; 0,90  →  Loader sering menunggu hauler (idle excavator mahal). Tambah DT atau perpendek cycle time haul (perbaiki jalan, naikkan kecepatan, kurangi antrian disposal).
MF 0,90 – 1,20  →  Zona ideal. Excavator tetap sibuk, antrian DT masih wajar. Ini target setting fleet harian.
MF 1,20 – 1,50  →  DT mulai mengantri di loading point. Boleh diterima jika prioritas menjaga produksi excavator kelas besar, tapi BBM DT terbuang.
MF &gt; 1,50  →  Over-trucking. Turunkan jumlah DT atau pindahkan ke front lain. Cek juga apakah loading time terlalu cepat (pass count kecil / bucket oversized).
Ingat: rumus MF mengabaikan keandalan stokastik (breakdown acak). Sediakan 1 unit DT cadangan floating per 6–8 unit operasi.</t>
        </is>
      </c>
      <c r="C28" s="107" t="n"/>
      <c r="D28" s="107" t="n"/>
      <c r="E28" s="107" t="n"/>
      <c r="F28" s="107" t="n"/>
      <c r="G28" s="108" t="n"/>
    </row>
    <row r="29" ht="19.5" customHeight="1" s="97">
      <c r="B29" s="109" t="n"/>
      <c r="G29" s="110" t="n"/>
    </row>
    <row r="30" ht="19.5" customHeight="1" s="97">
      <c r="B30" s="109" t="n"/>
      <c r="G30" s="110" t="n"/>
    </row>
    <row r="31" ht="19.5" customHeight="1" s="97">
      <c r="B31" s="109" t="n"/>
      <c r="G31" s="110" t="n"/>
    </row>
    <row r="32" ht="19.5" customHeight="1" s="97">
      <c r="B32" s="112" t="n"/>
      <c r="C32" s="113" t="n"/>
      <c r="D32" s="113" t="n"/>
      <c r="E32" s="113" t="n"/>
      <c r="F32" s="113" t="n"/>
      <c r="G32" s="114" t="n"/>
    </row>
  </sheetData>
  <mergeCells count="25">
    <mergeCell ref="B2:G2"/>
    <mergeCell ref="E10:G10"/>
    <mergeCell ref="E13:G13"/>
    <mergeCell ref="E19:G19"/>
    <mergeCell ref="B1:G1"/>
    <mergeCell ref="E9:G9"/>
    <mergeCell ref="E6:G6"/>
    <mergeCell ref="E11:G11"/>
    <mergeCell ref="E7:G7"/>
    <mergeCell ref="E25:G25"/>
    <mergeCell ref="B28:G32"/>
    <mergeCell ref="C12:G12"/>
    <mergeCell ref="E22:G22"/>
    <mergeCell ref="B4:G4"/>
    <mergeCell ref="E18:G18"/>
    <mergeCell ref="C23:G23"/>
    <mergeCell ref="E21:G21"/>
    <mergeCell ref="B16:G16"/>
    <mergeCell ref="E24:G24"/>
    <mergeCell ref="E14:G14"/>
    <mergeCell ref="E5:G5"/>
    <mergeCell ref="E8:G8"/>
    <mergeCell ref="B27:G27"/>
    <mergeCell ref="E17:G17"/>
    <mergeCell ref="E20:G20"/>
  </mergeCells>
  <conditionalFormatting sqref="C11">
    <cfRule type="cellIs" rank="0" priority="2" equalAverage="0" operator="between" aboveAverage="0" dxfId="16" text="" percent="0" bottom="0">
      <formula>0.9</formula>
      <formula>1.2</formula>
    </cfRule>
    <cfRule type="cellIs" rank="0" priority="3" equalAverage="0" operator="lessThan" aboveAverage="0" dxfId="18" text="" percent="0" bottom="0">
      <formula>0.9</formula>
    </cfRule>
    <cfRule type="cellIs" rank="0" priority="4" equalAverage="0" operator="greaterThan" aboveAverage="0" dxfId="17" text="" percent="0" bottom="0">
      <formula>1.2</formula>
    </cfRule>
  </conditionalFormatting>
  <conditionalFormatting sqref="C22">
    <cfRule type="cellIs" rank="0" priority="5" equalAverage="0" operator="between" aboveAverage="0" dxfId="16" text="" percent="0" bottom="0">
      <formula>0.9</formula>
      <formula>1.25</formula>
    </cfRule>
    <cfRule type="cellIs" rank="0" priority="6" equalAverage="0" operator="lessThan" aboveAverage="0" dxfId="18" text="" percent="0" bottom="0">
      <formula>0.9</formula>
    </cfRule>
    <cfRule type="cellIs" rank="0" priority="7" equalAverage="0" operator="greaterThan" aboveAverage="0" dxfId="17" text="" percent="0" bottom="0">
      <formula>1.25</formula>
    </cfRule>
  </conditionalFormatting>
  <printOptions horizontalCentered="1" verticalCentered="0" headings="0" gridLines="0" gridLinesSet="1"/>
  <pageMargins left="0.75" right="0.75" top="1" bottom="1" header="0.5" footer="0.511811023622047"/>
  <pageSetup orientation="landscape" paperSize="9" scale="100" fitToHeight="1" fitToWidth="1" pageOrder="downThenOver" blackAndWhite="0" draft="0" horizontalDpi="300" verticalDpi="300" copies="1"/>
  <headerFooter differentOddEven="0" differentFirst="0">
    <oddHeader>&amp;L05_MATCH_FACTOR — Keseimbangan Fleet</oddHeader>
    <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1"/>
  </sheetPr>
  <dimension ref="B1:H29"/>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3" customWidth="1" style="96" min="1" max="1"/>
    <col width="28" customWidth="1" style="96" min="2" max="2"/>
    <col width="16" customWidth="1" style="96" min="3" max="7"/>
    <col width="22" customWidth="1" style="96" min="8" max="8"/>
  </cols>
  <sheetData>
    <row r="1" ht="25.5" customHeight="1" s="97">
      <c r="B1" s="98" t="inlineStr">
        <is>
          <t>ANALISIS KEBUTUHAN ALAT vs TARGET PRODUKSI</t>
        </is>
      </c>
    </row>
    <row r="2" ht="15" customHeight="1" s="97">
      <c r="B2" s="125" t="inlineStr">
        <is>
          <t>Kebutuhan unit = Target produksi bulanan / Produksi teoritis per unit per bulan    •    Lalu bandingkan dengan unit OPERASI di 03_FLEET</t>
        </is>
      </c>
    </row>
    <row r="4" ht="15" customHeight="1" s="97">
      <c r="B4" s="126" t="inlineStr">
        <is>
          <t xml:space="preserve">  A. KEBUTUHAN BERDASARKAN TARGET  (tanpa cadangan)</t>
        </is>
      </c>
    </row>
    <row r="5" ht="27.75" customHeight="1" s="97">
      <c r="B5" s="115" t="inlineStr">
        <is>
          <t>Uraian</t>
        </is>
      </c>
      <c r="C5" s="115" t="inlineStr">
        <is>
          <t>Target/bulan</t>
        </is>
      </c>
      <c r="D5" s="115" t="inlineStr">
        <is>
          <t>Prod. unit/bulan</t>
        </is>
      </c>
      <c r="E5" s="115" t="inlineStr">
        <is>
          <t>Kebutuhan teoritis</t>
        </is>
      </c>
      <c r="F5" s="115" t="inlineStr">
        <is>
          <t>Pembulatan</t>
        </is>
      </c>
      <c r="G5" s="115" t="inlineStr">
        <is>
          <t>Available operasi</t>
        </is>
      </c>
      <c r="H5" s="115" t="inlineStr">
        <is>
          <t>GAP</t>
        </is>
      </c>
    </row>
    <row r="6" ht="15" customHeight="1" s="97">
      <c r="B6" s="122" t="inlineStr">
        <is>
          <t>Excavator OB kelas 120 t</t>
        </is>
      </c>
      <c r="C6" s="156">
        <f>02_ASUMSI!C28</f>
        <v/>
      </c>
      <c r="D6" s="156">
        <f>04_PRODUKTIVITAS!E14</f>
        <v/>
      </c>
      <c r="E6" s="180">
        <f>IF(D6=0,0,C6/D6)</f>
        <v/>
      </c>
      <c r="F6" s="156">
        <f>ROUNDUP(E6,0)</f>
        <v/>
      </c>
      <c r="G6" s="156">
        <f>COUNTIFS(03_FLEET!C6:C27,"Excavator",03_FLEET!E6:E27,"120 t",03_FLEET!H6:H27,"OPERASI")</f>
        <v/>
      </c>
      <c r="H6" s="155">
        <f>F6-G6</f>
        <v/>
      </c>
    </row>
    <row r="7" ht="15" customHeight="1" s="97">
      <c r="B7" s="127" t="inlineStr">
        <is>
          <t>Excavator OB kelas 75–90 t</t>
        </is>
      </c>
      <c r="C7" s="181" t="n">
        <v>0</v>
      </c>
      <c r="D7" s="156">
        <f>04_PRODUKTIVITAS!D14</f>
        <v/>
      </c>
      <c r="E7" s="180">
        <f>IF(D7=0,0,C7/D7)</f>
        <v/>
      </c>
      <c r="F7" s="156">
        <f>ROUNDUP(E7,0)</f>
        <v/>
      </c>
      <c r="G7" s="156">
        <f>COUNTIFS(03_FLEET!C6:C27,"Excavator",03_FLEET!E6:E27,"75 t",03_FLEET!H6:H27,"OPERASI")+COUNTIFS(03_FLEET!C6:C27,"Excavator",03_FLEET!E6:E27,"80 t",03_FLEET!H6:H27,"OPERASI")</f>
        <v/>
      </c>
      <c r="H7" s="155">
        <f>F7-G7</f>
        <v/>
      </c>
    </row>
    <row r="8" ht="15" customHeight="1" s="97">
      <c r="B8" s="122" t="inlineStr">
        <is>
          <t>Dump Truck OB 90–100 t</t>
        </is>
      </c>
      <c r="C8" s="156">
        <f>02_ASUMSI!C28</f>
        <v/>
      </c>
      <c r="D8" s="156">
        <f>04_PRODUKTIVITAS!C35</f>
        <v/>
      </c>
      <c r="E8" s="180">
        <f>IF(D8=0,0,C8/D8)</f>
        <v/>
      </c>
      <c r="F8" s="156">
        <f>ROUNDUP(E8,0)</f>
        <v/>
      </c>
      <c r="G8" s="156">
        <f>05_MATCH_FACTOR!C7</f>
        <v/>
      </c>
      <c r="H8" s="155">
        <f>F8-G8</f>
        <v/>
      </c>
    </row>
    <row r="9" ht="15" customHeight="1" s="97">
      <c r="B9" s="127" t="inlineStr">
        <is>
          <t>Excavator coal 40 t</t>
        </is>
      </c>
      <c r="C9" s="156">
        <f>02_ASUMSI!C29</f>
        <v/>
      </c>
      <c r="D9" s="156">
        <f>04_PRODUKTIVITAS!F14*1.3</f>
        <v/>
      </c>
      <c r="E9" s="180">
        <f>IF(D9=0,0,C9/D9)</f>
        <v/>
      </c>
      <c r="F9" s="156">
        <f>ROUNDUP(E9,0)</f>
        <v/>
      </c>
      <c r="G9" s="156">
        <f>COUNTIFS(03_FLEET!C6:C27,"Excavator",03_FLEET!E6:E27,"40 t",03_FLEET!H6:H27,"OPERASI")</f>
        <v/>
      </c>
      <c r="H9" s="155">
        <f>F9-G9</f>
        <v/>
      </c>
    </row>
    <row r="10" ht="15" customHeight="1" s="97">
      <c r="B10" s="122" t="inlineStr">
        <is>
          <t>Dump Truck coal (Hino class)</t>
        </is>
      </c>
      <c r="C10" s="156">
        <f>02_ASUMSI!C29</f>
        <v/>
      </c>
      <c r="D10" s="156">
        <f>04_PRODUKTIVITAS!E35*1.3</f>
        <v/>
      </c>
      <c r="E10" s="180">
        <f>IF(D10=0,0,C10/D10)</f>
        <v/>
      </c>
      <c r="F10" s="156">
        <f>ROUNDUP(E10,0)</f>
        <v/>
      </c>
      <c r="G10" s="156">
        <f>05_MATCH_FACTOR!C19</f>
        <v/>
      </c>
      <c r="H10" s="155">
        <f>F10-G10</f>
        <v/>
      </c>
    </row>
    <row r="11" ht="15" customHeight="1" s="97">
      <c r="B11" s="127" t="inlineStr">
        <is>
          <t>Dozer pendukung (rule of thumb)</t>
        </is>
      </c>
      <c r="C11" s="178" t="inlineStr">
        <is>
          <t>—</t>
        </is>
      </c>
      <c r="D11" s="178" t="inlineStr">
        <is>
          <t>1 per 2–3 EX besar</t>
        </is>
      </c>
      <c r="E11" s="178">
        <f>05_MATCH_FACTOR!C6/2</f>
        <v/>
      </c>
      <c r="F11" s="178">
        <f>ROUNDUP(E11,0)</f>
        <v/>
      </c>
      <c r="G11" s="178">
        <f>COUNTIFS(03_FLEET!C6:C27,"Dozer",03_FLEET!H6:H27,"OPERASI")</f>
        <v/>
      </c>
      <c r="H11" s="155">
        <f>F11-G11</f>
        <v/>
      </c>
    </row>
    <row r="12" ht="15" customHeight="1" s="97">
      <c r="B12" s="122" t="inlineStr">
        <is>
          <t>Grader + Water Truck (jalan)</t>
        </is>
      </c>
      <c r="C12" s="156" t="inlineStr">
        <is>
          <t>—</t>
        </is>
      </c>
      <c r="D12" s="178" t="inlineStr">
        <is>
          <t>min. 1 + 1</t>
        </is>
      </c>
      <c r="E12" s="180" t="n">
        <v>2</v>
      </c>
      <c r="F12" s="156" t="n">
        <v>2</v>
      </c>
      <c r="G12" s="156">
        <f>COUNTIFS(03_FLEET!C6:C27,"Grader",03_FLEET!H6:H27,"OPERASI")+COUNTIFS(03_FLEET!C6:C27,"Water Truck",03_FLEET!H6:H27,"OPERASI")</f>
        <v/>
      </c>
      <c r="H12" s="155">
        <f>F12-G12</f>
        <v/>
      </c>
    </row>
    <row r="14" ht="15" customHeight="1" s="97">
      <c r="B14" s="126" t="inlineStr">
        <is>
          <t xml:space="preserve">  B. KEBUTUHAN + CADANGAN OPERASIONAL  (standby &amp; PM cover)</t>
        </is>
      </c>
    </row>
    <row r="15" ht="15" customHeight="1" s="97">
      <c r="B15" s="96" t="inlineStr">
        <is>
          <t>Faktor cadangan fleet (standby + PM overlap)</t>
        </is>
      </c>
      <c r="C15" s="134" t="n">
        <v>0.15</v>
      </c>
      <c r="D15" s="182" t="inlineStr">
        <is>
          <t>15% umum untuk site 24/7. Naikkan jika spare part lambat / umur fleet tua.</t>
        </is>
      </c>
    </row>
    <row r="16" ht="15" customHeight="1" s="97">
      <c r="B16" s="183" t="inlineStr">
        <is>
          <t>Excavator OB 120 t + cadangan</t>
        </is>
      </c>
      <c r="C16" s="155">
        <f>ROUNDUP(F6*(1+C15),0)</f>
        <v/>
      </c>
      <c r="D16" s="184" t="inlineStr">
        <is>
          <t>unit total yang harus dimiliki / disewa</t>
        </is>
      </c>
      <c r="E16" s="104" t="n"/>
      <c r="F16" s="104" t="n"/>
      <c r="G16" s="104" t="n"/>
      <c r="H16" s="105" t="n"/>
    </row>
    <row r="17" ht="15" customHeight="1" s="97">
      <c r="B17" s="183" t="inlineStr">
        <is>
          <t>Dump Truck OB + cadangan</t>
        </is>
      </c>
      <c r="C17" s="155">
        <f>ROUNDUP(F8*(1+C15),0)</f>
        <v/>
      </c>
      <c r="D17" s="184" t="inlineStr">
        <is>
          <t>unit total (bandingkan dengan 05_MATCH_FACTOR C13)</t>
        </is>
      </c>
      <c r="E17" s="104" t="n"/>
      <c r="F17" s="104" t="n"/>
      <c r="G17" s="104" t="n"/>
      <c r="H17" s="105" t="n"/>
    </row>
    <row r="18" ht="15" customHeight="1" s="97">
      <c r="B18" s="183" t="inlineStr">
        <is>
          <t>Dump Truck coal + cadangan</t>
        </is>
      </c>
      <c r="C18" s="155">
        <f>ROUNDUP(F10*(1+C15),0)</f>
        <v/>
      </c>
      <c r="D18" s="184" t="inlineStr">
        <is>
          <t>unit total</t>
        </is>
      </c>
      <c r="E18" s="104" t="n"/>
      <c r="F18" s="104" t="n"/>
      <c r="G18" s="104" t="n"/>
      <c r="H18" s="105" t="n"/>
    </row>
    <row r="20" ht="15" customHeight="1" s="97">
      <c r="B20" s="126" t="inlineStr">
        <is>
          <t xml:space="preserve">  C. ESTIMASI BBM HARIAN  (order of magnitude)</t>
        </is>
      </c>
    </row>
    <row r="21" ht="15" customHeight="1" s="97">
      <c r="B21" s="115" t="inlineStr">
        <is>
          <t>Uraian</t>
        </is>
      </c>
      <c r="C21" s="115" t="inlineStr">
        <is>
          <t>Unit operasi</t>
        </is>
      </c>
      <c r="D21" s="115" t="inlineStr">
        <is>
          <t>Liter/jam</t>
        </is>
      </c>
      <c r="E21" s="115" t="inlineStr">
        <is>
          <t>Jam efektif/hari</t>
        </is>
      </c>
      <c r="F21" s="115" t="inlineStr">
        <is>
          <t>Liter/hari</t>
        </is>
      </c>
      <c r="G21" s="115" t="inlineStr">
        <is>
          <t>Rp/hari</t>
        </is>
      </c>
      <c r="H21" s="115" t="inlineStr">
        <is>
          <t>Rp/bulan</t>
        </is>
      </c>
    </row>
    <row r="22" ht="15" customHeight="1" s="97">
      <c r="B22" s="127" t="inlineStr">
        <is>
          <t>Excavator 90–120 t</t>
        </is>
      </c>
      <c r="C22" s="185">
        <f>G6+G7</f>
        <v/>
      </c>
      <c r="D22" s="185">
        <f>02_ASUMSI!G20</f>
        <v/>
      </c>
      <c r="E22" s="161">
        <f>02_ASUMSI!C13</f>
        <v/>
      </c>
      <c r="F22" s="156">
        <f>C22*D22*E22</f>
        <v/>
      </c>
      <c r="G22" s="186">
        <f>F22*02_ASUMSI!G23</f>
        <v/>
      </c>
      <c r="H22" s="186">
        <f>G22*02_ASUMSI!C9</f>
        <v/>
      </c>
    </row>
    <row r="23" ht="15" customHeight="1" s="97">
      <c r="B23" s="127" t="inlineStr">
        <is>
          <t>Dump Truck 90–100 t</t>
        </is>
      </c>
      <c r="C23" s="185">
        <f>G8</f>
        <v/>
      </c>
      <c r="D23" s="185">
        <f>02_ASUMSI!G21</f>
        <v/>
      </c>
      <c r="E23" s="161">
        <f>02_ASUMSI!C13</f>
        <v/>
      </c>
      <c r="F23" s="156">
        <f>C23*D23*E23</f>
        <v/>
      </c>
      <c r="G23" s="186">
        <f>F23*02_ASUMSI!G23</f>
        <v/>
      </c>
      <c r="H23" s="186">
        <f>G23*02_ASUMSI!C9</f>
        <v/>
      </c>
    </row>
    <row r="24" ht="15" customHeight="1" s="97">
      <c r="B24" s="127" t="inlineStr">
        <is>
          <t>Dozer D155 class</t>
        </is>
      </c>
      <c r="C24" s="185">
        <f>G11</f>
        <v/>
      </c>
      <c r="D24" s="185">
        <f>02_ASUMSI!G22</f>
        <v/>
      </c>
      <c r="E24" s="161">
        <f>02_ASUMSI!C13</f>
        <v/>
      </c>
      <c r="F24" s="156">
        <f>C24*D24*E24</f>
        <v/>
      </c>
      <c r="G24" s="186">
        <f>F24*02_ASUMSI!G23</f>
        <v/>
      </c>
      <c r="H24" s="186">
        <f>G24*02_ASUMSI!C9</f>
        <v/>
      </c>
    </row>
    <row r="25" ht="15" customHeight="1" s="97">
      <c r="B25" s="139" t="inlineStr">
        <is>
          <t>TOTAL BBM PRODUKSI UTAMA</t>
        </is>
      </c>
      <c r="C25" s="187">
        <f>C22+C23+C24</f>
        <v/>
      </c>
      <c r="D25" s="187" t="n"/>
      <c r="E25" s="188" t="n"/>
      <c r="F25" s="189">
        <f>F22+F23+F24</f>
        <v/>
      </c>
      <c r="G25" s="190">
        <f>G22+G23+G24</f>
        <v/>
      </c>
      <c r="H25" s="190">
        <f>H22+H23+H24</f>
        <v/>
      </c>
    </row>
    <row r="27" ht="15" customHeight="1" s="97">
      <c r="B27" s="123" t="inlineStr">
        <is>
          <t>CATATAN: Kolom GAP positif (merah) = kekurangan unit terhadap target. Kolom C7 (target EX 75–90 t) sengaja diisi 0 agar target OB tidak dihitung dobel — alokasikan sebagian target ke kelas 90 t jika 120 t tidak mencukupi. Konversi coal BCM→ton memakai density 1,30 t/BCM (ubah di rumus D9/D10 jika density site berbeda). BBM belum termasuk water truck, grader, lighting plant, dan genset.</t>
        </is>
      </c>
      <c r="C27" s="107" t="n"/>
      <c r="D27" s="107" t="n"/>
      <c r="E27" s="107" t="n"/>
      <c r="F27" s="107" t="n"/>
      <c r="G27" s="107" t="n"/>
      <c r="H27" s="108" t="n"/>
    </row>
    <row r="28" ht="15" customHeight="1" s="97">
      <c r="B28" s="109" t="n"/>
      <c r="H28" s="110" t="n"/>
    </row>
    <row r="29" ht="15" customHeight="1" s="97">
      <c r="B29" s="112" t="n"/>
      <c r="C29" s="113" t="n"/>
      <c r="D29" s="113" t="n"/>
      <c r="E29" s="113" t="n"/>
      <c r="F29" s="113" t="n"/>
      <c r="G29" s="113" t="n"/>
      <c r="H29" s="114" t="n"/>
    </row>
  </sheetData>
  <mergeCells count="10">
    <mergeCell ref="B14:H14"/>
    <mergeCell ref="D15:H15"/>
    <mergeCell ref="D16:H16"/>
    <mergeCell ref="B1:H1"/>
    <mergeCell ref="B4:H4"/>
    <mergeCell ref="D18:H18"/>
    <mergeCell ref="B2:H2"/>
    <mergeCell ref="B20:H20"/>
    <mergeCell ref="D17:H17"/>
    <mergeCell ref="B27:H29"/>
  </mergeCells>
  <conditionalFormatting sqref="H6:H12">
    <cfRule type="cellIs" rank="0" priority="2" equalAverage="0" operator="greaterThan" aboveAverage="0" dxfId="18" text="" percent="0" bottom="0">
      <formula>0</formula>
    </cfRule>
    <cfRule type="cellIs" rank="0" priority="3" equalAverage="0" operator="lessThan" aboveAverage="0" dxfId="16" text="" percent="0" bottom="0">
      <formula>0</formula>
    </cfRule>
    <cfRule type="cellIs" rank="0" priority="4" equalAverage="0" operator="equal" aboveAverage="0" dxfId="16" text="" percent="0" bottom="0">
      <formula>0</formula>
    </cfRule>
  </conditionalFormatting>
  <printOptions horizontalCentered="1" verticalCentered="0" headings="0" gridLines="0" gridLinesSet="1"/>
  <pageMargins left="0.75" right="0.75" top="1" bottom="1" header="0.5" footer="0.511811023622047"/>
  <pageSetup orientation="landscape" paperSize="9" scale="100" fitToHeight="1" fitToWidth="1" pageOrder="downThenOver" blackAndWhite="0" draft="0" horizontalDpi="300" verticalDpi="300" copies="1"/>
  <headerFooter differentOddEven="0" differentFirst="0">
    <oddHeader>&amp;L06_KEBUTUHAN — Gap Analysis Fleet vs Target</oddHeader>
    <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1"/>
  </sheetPr>
  <dimension ref="A1:L33"/>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96" min="1" max="1"/>
    <col width="12" customWidth="1" style="96" min="2" max="2"/>
    <col width="14" customWidth="1" style="96" min="3" max="3"/>
    <col width="22" customWidth="1" style="96" min="4" max="4"/>
    <col width="12" customWidth="1" style="96" min="5" max="7"/>
    <col width="14" customWidth="1" style="96" min="8" max="10"/>
    <col width="16" customWidth="1" style="96" min="11" max="11"/>
    <col width="18" customWidth="1" style="96" min="12" max="12"/>
  </cols>
  <sheetData>
    <row r="1" ht="25.5" customHeight="1" s="97">
      <c r="A1" s="98" t="inlineStr">
        <is>
          <t>PREVENTIVE MAINTENANCE PLANNER  —  BERBASIS SMH (SERVICE METER HOURS)</t>
        </is>
      </c>
    </row>
    <row r="2" ht="15" customHeight="1" s="97">
      <c r="A2" s="125" t="inlineStr">
        <is>
          <t>Interval default: 250 / 500 / 1000 / 2000 SMH  •  Sesuaikan dengan lubrication chart pabrikan (Komatsu, CAT, Sany, Hitachi)</t>
        </is>
      </c>
    </row>
    <row r="3" ht="23.85" customHeight="1" s="97">
      <c r="A3" s="166" t="inlineStr">
        <is>
          <t>Interval A</t>
        </is>
      </c>
      <c r="B3" s="174" t="n">
        <v>250</v>
      </c>
      <c r="C3" s="166" t="inlineStr">
        <is>
          <t>SMH</t>
        </is>
      </c>
      <c r="D3" s="166" t="inlineStr">
        <is>
          <t>Interval B</t>
        </is>
      </c>
      <c r="E3" s="174" t="n">
        <v>500</v>
      </c>
      <c r="F3" s="166" t="inlineStr">
        <is>
          <t>SMH</t>
        </is>
      </c>
      <c r="G3" s="166" t="inlineStr">
        <is>
          <t>Interval C</t>
        </is>
      </c>
      <c r="H3" s="174" t="n">
        <v>1000</v>
      </c>
      <c r="I3" s="166" t="inlineStr">
        <is>
          <t>SMH</t>
        </is>
      </c>
      <c r="J3" s="166" t="inlineStr">
        <is>
          <t>Interval D</t>
        </is>
      </c>
      <c r="K3" s="174" t="n">
        <v>2000</v>
      </c>
      <c r="L3" s="166" t="inlineStr">
        <is>
          <t>SMH</t>
        </is>
      </c>
    </row>
    <row r="5" ht="27.75" customHeight="1" s="97">
      <c r="A5" s="115" t="inlineStr">
        <is>
          <t>No</t>
        </is>
      </c>
      <c r="B5" s="115" t="inlineStr">
        <is>
          <t>Kode Unit</t>
        </is>
      </c>
      <c r="C5" s="115" t="inlineStr">
        <is>
          <t>Jenis</t>
        </is>
      </c>
      <c r="D5" s="115" t="inlineStr">
        <is>
          <t>Model</t>
        </is>
      </c>
      <c r="E5" s="115" t="inlineStr">
        <is>
          <t>SMH Sekarang</t>
        </is>
      </c>
      <c r="F5" s="115" t="inlineStr">
        <is>
          <t>Sisa ke A</t>
        </is>
      </c>
      <c r="G5" s="115" t="inlineStr">
        <is>
          <t>Sisa ke B</t>
        </is>
      </c>
      <c r="H5" s="115" t="inlineStr">
        <is>
          <t>Sisa ke C</t>
        </is>
      </c>
      <c r="I5" s="115" t="inlineStr">
        <is>
          <t>Sisa ke D</t>
        </is>
      </c>
      <c r="J5" s="115" t="inlineStr">
        <is>
          <t>PM terdekat (jam)</t>
        </is>
      </c>
      <c r="K5" s="115" t="inlineStr">
        <is>
          <t>Jenis PM berikutnya</t>
        </is>
      </c>
      <c r="L5" s="115" t="inlineStr">
        <is>
          <t>Prioritas</t>
        </is>
      </c>
    </row>
    <row r="6" ht="15" customHeight="1" s="97">
      <c r="A6" s="178" t="n">
        <v>1</v>
      </c>
      <c r="B6" s="178">
        <f>03_FLEET!B6</f>
        <v/>
      </c>
      <c r="C6" s="178">
        <f>03_FLEET!C6</f>
        <v/>
      </c>
      <c r="D6" s="175">
        <f>03_FLEET!D6</f>
        <v/>
      </c>
      <c r="E6" s="156">
        <f>03_FLEET!J6</f>
        <v/>
      </c>
      <c r="F6" s="156">
        <f>IF(E6="","",IF(MOD(E6,$B$3)=0,0,$B$3-MOD(E6,$B$3)))</f>
        <v/>
      </c>
      <c r="G6" s="156">
        <f>IF(E6="","",IF(MOD(E6,$E$3)=0,0,$E$3-MOD(E6,$E$3)))</f>
        <v/>
      </c>
      <c r="H6" s="156">
        <f>IF(E6="","",IF(MOD(E6,$H$3)=0,0,$H$3-MOD(E6,$H$3)))</f>
        <v/>
      </c>
      <c r="I6" s="156">
        <f>IF(E6="","",IF(MOD(E6,$K$3)=0,0,$K$3-MOD(E6,$K$3)))</f>
        <v/>
      </c>
      <c r="J6" s="156">
        <f>IF(E6="","",MIN(F6,G6,H6,I6))</f>
        <v/>
      </c>
      <c r="K6" s="178">
        <f>IF(E6="","",IF(J6=I6,"PM-D 2000",IF(J6=H6,"PM-C 1000",IF(J6=G6,"PM-B 500","PM-A 250"))))</f>
        <v/>
      </c>
      <c r="L6" s="178">
        <f>IF(E6="","",IF(J6&lt;=50,"URGENT",IF(J6&lt;=150,"MINGGU INI",IF(J6&lt;=300,"BULAN INI","AMAN"))))</f>
        <v/>
      </c>
    </row>
    <row r="7" ht="15" customHeight="1" s="97">
      <c r="A7" s="178" t="n">
        <v>2</v>
      </c>
      <c r="B7" s="178">
        <f>03_FLEET!B7</f>
        <v/>
      </c>
      <c r="C7" s="178">
        <f>03_FLEET!C7</f>
        <v/>
      </c>
      <c r="D7" s="175">
        <f>03_FLEET!D7</f>
        <v/>
      </c>
      <c r="E7" s="156">
        <f>03_FLEET!J7</f>
        <v/>
      </c>
      <c r="F7" s="156">
        <f>IF(E7="","",IF(MOD(E7,$B$3)=0,0,$B$3-MOD(E7,$B$3)))</f>
        <v/>
      </c>
      <c r="G7" s="156">
        <f>IF(E7="","",IF(MOD(E7,$E$3)=0,0,$E$3-MOD(E7,$E$3)))</f>
        <v/>
      </c>
      <c r="H7" s="156">
        <f>IF(E7="","",IF(MOD(E7,$H$3)=0,0,$H$3-MOD(E7,$H$3)))</f>
        <v/>
      </c>
      <c r="I7" s="156">
        <f>IF(E7="","",IF(MOD(E7,$K$3)=0,0,$K$3-MOD(E7,$K$3)))</f>
        <v/>
      </c>
      <c r="J7" s="156">
        <f>IF(E7="","",MIN(F7,G7,H7,I7))</f>
        <v/>
      </c>
      <c r="K7" s="178">
        <f>IF(E7="","",IF(J7=I7,"PM-D 2000",IF(J7=H7,"PM-C 1000",IF(J7=G7,"PM-B 500","PM-A 250"))))</f>
        <v/>
      </c>
      <c r="L7" s="178">
        <f>IF(E7="","",IF(J7&lt;=50,"URGENT",IF(J7&lt;=150,"MINGGU INI",IF(J7&lt;=300,"BULAN INI","AMAN"))))</f>
        <v/>
      </c>
    </row>
    <row r="8" ht="15" customHeight="1" s="97">
      <c r="A8" s="178" t="n">
        <v>3</v>
      </c>
      <c r="B8" s="178">
        <f>03_FLEET!B8</f>
        <v/>
      </c>
      <c r="C8" s="178">
        <f>03_FLEET!C8</f>
        <v/>
      </c>
      <c r="D8" s="175">
        <f>03_FLEET!D8</f>
        <v/>
      </c>
      <c r="E8" s="156">
        <f>03_FLEET!J8</f>
        <v/>
      </c>
      <c r="F8" s="156">
        <f>IF(E8="","",IF(MOD(E8,$B$3)=0,0,$B$3-MOD(E8,$B$3)))</f>
        <v/>
      </c>
      <c r="G8" s="156">
        <f>IF(E8="","",IF(MOD(E8,$E$3)=0,0,$E$3-MOD(E8,$E$3)))</f>
        <v/>
      </c>
      <c r="H8" s="156">
        <f>IF(E8="","",IF(MOD(E8,$H$3)=0,0,$H$3-MOD(E8,$H$3)))</f>
        <v/>
      </c>
      <c r="I8" s="156">
        <f>IF(E8="","",IF(MOD(E8,$K$3)=0,0,$K$3-MOD(E8,$K$3)))</f>
        <v/>
      </c>
      <c r="J8" s="156">
        <f>IF(E8="","",MIN(F8,G8,H8,I8))</f>
        <v/>
      </c>
      <c r="K8" s="178">
        <f>IF(E8="","",IF(J8=I8,"PM-D 2000",IF(J8=H8,"PM-C 1000",IF(J8=G8,"PM-B 500","PM-A 250"))))</f>
        <v/>
      </c>
      <c r="L8" s="178">
        <f>IF(E8="","",IF(J8&lt;=50,"URGENT",IF(J8&lt;=150,"MINGGU INI",IF(J8&lt;=300,"BULAN INI","AMAN"))))</f>
        <v/>
      </c>
    </row>
    <row r="9" ht="15" customHeight="1" s="97">
      <c r="A9" s="178" t="n">
        <v>4</v>
      </c>
      <c r="B9" s="178">
        <f>03_FLEET!B9</f>
        <v/>
      </c>
      <c r="C9" s="178">
        <f>03_FLEET!C9</f>
        <v/>
      </c>
      <c r="D9" s="175">
        <f>03_FLEET!D9</f>
        <v/>
      </c>
      <c r="E9" s="156">
        <f>03_FLEET!J9</f>
        <v/>
      </c>
      <c r="F9" s="156">
        <f>IF(E9="","",IF(MOD(E9,$B$3)=0,0,$B$3-MOD(E9,$B$3)))</f>
        <v/>
      </c>
      <c r="G9" s="156">
        <f>IF(E9="","",IF(MOD(E9,$E$3)=0,0,$E$3-MOD(E9,$E$3)))</f>
        <v/>
      </c>
      <c r="H9" s="156">
        <f>IF(E9="","",IF(MOD(E9,$H$3)=0,0,$H$3-MOD(E9,$H$3)))</f>
        <v/>
      </c>
      <c r="I9" s="156">
        <f>IF(E9="","",IF(MOD(E9,$K$3)=0,0,$K$3-MOD(E9,$K$3)))</f>
        <v/>
      </c>
      <c r="J9" s="156">
        <f>IF(E9="","",MIN(F9,G9,H9,I9))</f>
        <v/>
      </c>
      <c r="K9" s="178">
        <f>IF(E9="","",IF(J9=I9,"PM-D 2000",IF(J9=H9,"PM-C 1000",IF(J9=G9,"PM-B 500","PM-A 250"))))</f>
        <v/>
      </c>
      <c r="L9" s="178">
        <f>IF(E9="","",IF(J9&lt;=50,"URGENT",IF(J9&lt;=150,"MINGGU INI",IF(J9&lt;=300,"BULAN INI","AMAN"))))</f>
        <v/>
      </c>
    </row>
    <row r="10" ht="15" customHeight="1" s="97">
      <c r="A10" s="178" t="n">
        <v>5</v>
      </c>
      <c r="B10" s="178">
        <f>03_FLEET!B10</f>
        <v/>
      </c>
      <c r="C10" s="178">
        <f>03_FLEET!C10</f>
        <v/>
      </c>
      <c r="D10" s="175">
        <f>03_FLEET!D10</f>
        <v/>
      </c>
      <c r="E10" s="156">
        <f>03_FLEET!J10</f>
        <v/>
      </c>
      <c r="F10" s="156">
        <f>IF(E10="","",IF(MOD(E10,$B$3)=0,0,$B$3-MOD(E10,$B$3)))</f>
        <v/>
      </c>
      <c r="G10" s="156">
        <f>IF(E10="","",IF(MOD(E10,$E$3)=0,0,$E$3-MOD(E10,$E$3)))</f>
        <v/>
      </c>
      <c r="H10" s="156">
        <f>IF(E10="","",IF(MOD(E10,$H$3)=0,0,$H$3-MOD(E10,$H$3)))</f>
        <v/>
      </c>
      <c r="I10" s="156">
        <f>IF(E10="","",IF(MOD(E10,$K$3)=0,0,$K$3-MOD(E10,$K$3)))</f>
        <v/>
      </c>
      <c r="J10" s="156">
        <f>IF(E10="","",MIN(F10,G10,H10,I10))</f>
        <v/>
      </c>
      <c r="K10" s="178">
        <f>IF(E10="","",IF(J10=I10,"PM-D 2000",IF(J10=H10,"PM-C 1000",IF(J10=G10,"PM-B 500","PM-A 250"))))</f>
        <v/>
      </c>
      <c r="L10" s="178">
        <f>IF(E10="","",IF(J10&lt;=50,"URGENT",IF(J10&lt;=150,"MINGGU INI",IF(J10&lt;=300,"BULAN INI","AMAN"))))</f>
        <v/>
      </c>
    </row>
    <row r="11" ht="15" customHeight="1" s="97">
      <c r="A11" s="178" t="n">
        <v>6</v>
      </c>
      <c r="B11" s="178">
        <f>03_FLEET!B11</f>
        <v/>
      </c>
      <c r="C11" s="178">
        <f>03_FLEET!C11</f>
        <v/>
      </c>
      <c r="D11" s="175">
        <f>03_FLEET!D11</f>
        <v/>
      </c>
      <c r="E11" s="156">
        <f>03_FLEET!J11</f>
        <v/>
      </c>
      <c r="F11" s="156">
        <f>IF(E11="","",IF(MOD(E11,$B$3)=0,0,$B$3-MOD(E11,$B$3)))</f>
        <v/>
      </c>
      <c r="G11" s="156">
        <f>IF(E11="","",IF(MOD(E11,$E$3)=0,0,$E$3-MOD(E11,$E$3)))</f>
        <v/>
      </c>
      <c r="H11" s="156">
        <f>IF(E11="","",IF(MOD(E11,$H$3)=0,0,$H$3-MOD(E11,$H$3)))</f>
        <v/>
      </c>
      <c r="I11" s="156">
        <f>IF(E11="","",IF(MOD(E11,$K$3)=0,0,$K$3-MOD(E11,$K$3)))</f>
        <v/>
      </c>
      <c r="J11" s="156">
        <f>IF(E11="","",MIN(F11,G11,H11,I11))</f>
        <v/>
      </c>
      <c r="K11" s="178">
        <f>IF(E11="","",IF(J11=I11,"PM-D 2000",IF(J11=H11,"PM-C 1000",IF(J11=G11,"PM-B 500","PM-A 250"))))</f>
        <v/>
      </c>
      <c r="L11" s="178">
        <f>IF(E11="","",IF(J11&lt;=50,"URGENT",IF(J11&lt;=150,"MINGGU INI",IF(J11&lt;=300,"BULAN INI","AMAN"))))</f>
        <v/>
      </c>
    </row>
    <row r="12" ht="15" customHeight="1" s="97">
      <c r="A12" s="178" t="n">
        <v>7</v>
      </c>
      <c r="B12" s="178">
        <f>03_FLEET!B12</f>
        <v/>
      </c>
      <c r="C12" s="178">
        <f>03_FLEET!C12</f>
        <v/>
      </c>
      <c r="D12" s="175">
        <f>03_FLEET!D12</f>
        <v/>
      </c>
      <c r="E12" s="156">
        <f>03_FLEET!J12</f>
        <v/>
      </c>
      <c r="F12" s="156">
        <f>IF(E12="","",IF(MOD(E12,$B$3)=0,0,$B$3-MOD(E12,$B$3)))</f>
        <v/>
      </c>
      <c r="G12" s="156">
        <f>IF(E12="","",IF(MOD(E12,$E$3)=0,0,$E$3-MOD(E12,$E$3)))</f>
        <v/>
      </c>
      <c r="H12" s="156">
        <f>IF(E12="","",IF(MOD(E12,$H$3)=0,0,$H$3-MOD(E12,$H$3)))</f>
        <v/>
      </c>
      <c r="I12" s="156">
        <f>IF(E12="","",IF(MOD(E12,$K$3)=0,0,$K$3-MOD(E12,$K$3)))</f>
        <v/>
      </c>
      <c r="J12" s="156">
        <f>IF(E12="","",MIN(F12,G12,H12,I12))</f>
        <v/>
      </c>
      <c r="K12" s="178">
        <f>IF(E12="","",IF(J12=I12,"PM-D 2000",IF(J12=H12,"PM-C 1000",IF(J12=G12,"PM-B 500","PM-A 250"))))</f>
        <v/>
      </c>
      <c r="L12" s="178">
        <f>IF(E12="","",IF(J12&lt;=50,"URGENT",IF(J12&lt;=150,"MINGGU INI",IF(J12&lt;=300,"BULAN INI","AMAN"))))</f>
        <v/>
      </c>
    </row>
    <row r="13" ht="15" customHeight="1" s="97">
      <c r="A13" s="178" t="n">
        <v>8</v>
      </c>
      <c r="B13" s="178">
        <f>03_FLEET!B13</f>
        <v/>
      </c>
      <c r="C13" s="178">
        <f>03_FLEET!C13</f>
        <v/>
      </c>
      <c r="D13" s="175">
        <f>03_FLEET!D13</f>
        <v/>
      </c>
      <c r="E13" s="156">
        <f>03_FLEET!J13</f>
        <v/>
      </c>
      <c r="F13" s="156">
        <f>IF(E13="","",IF(MOD(E13,$B$3)=0,0,$B$3-MOD(E13,$B$3)))</f>
        <v/>
      </c>
      <c r="G13" s="156">
        <f>IF(E13="","",IF(MOD(E13,$E$3)=0,0,$E$3-MOD(E13,$E$3)))</f>
        <v/>
      </c>
      <c r="H13" s="156">
        <f>IF(E13="","",IF(MOD(E13,$H$3)=0,0,$H$3-MOD(E13,$H$3)))</f>
        <v/>
      </c>
      <c r="I13" s="156">
        <f>IF(E13="","",IF(MOD(E13,$K$3)=0,0,$K$3-MOD(E13,$K$3)))</f>
        <v/>
      </c>
      <c r="J13" s="156">
        <f>IF(E13="","",MIN(F13,G13,H13,I13))</f>
        <v/>
      </c>
      <c r="K13" s="178">
        <f>IF(E13="","",IF(J13=I13,"PM-D 2000",IF(J13=H13,"PM-C 1000",IF(J13=G13,"PM-B 500","PM-A 250"))))</f>
        <v/>
      </c>
      <c r="L13" s="178">
        <f>IF(E13="","",IF(J13&lt;=50,"URGENT",IF(J13&lt;=150,"MINGGU INI",IF(J13&lt;=300,"BULAN INI","AMAN"))))</f>
        <v/>
      </c>
    </row>
    <row r="14" ht="15" customHeight="1" s="97">
      <c r="A14" s="178" t="n">
        <v>9</v>
      </c>
      <c r="B14" s="178">
        <f>03_FLEET!B14</f>
        <v/>
      </c>
      <c r="C14" s="178">
        <f>03_FLEET!C14</f>
        <v/>
      </c>
      <c r="D14" s="175">
        <f>03_FLEET!D14</f>
        <v/>
      </c>
      <c r="E14" s="156">
        <f>03_FLEET!J14</f>
        <v/>
      </c>
      <c r="F14" s="156">
        <f>IF(E14="","",IF(MOD(E14,$B$3)=0,0,$B$3-MOD(E14,$B$3)))</f>
        <v/>
      </c>
      <c r="G14" s="156">
        <f>IF(E14="","",IF(MOD(E14,$E$3)=0,0,$E$3-MOD(E14,$E$3)))</f>
        <v/>
      </c>
      <c r="H14" s="156">
        <f>IF(E14="","",IF(MOD(E14,$H$3)=0,0,$H$3-MOD(E14,$H$3)))</f>
        <v/>
      </c>
      <c r="I14" s="156">
        <f>IF(E14="","",IF(MOD(E14,$K$3)=0,0,$K$3-MOD(E14,$K$3)))</f>
        <v/>
      </c>
      <c r="J14" s="156">
        <f>IF(E14="","",MIN(F14,G14,H14,I14))</f>
        <v/>
      </c>
      <c r="K14" s="178">
        <f>IF(E14="","",IF(J14=I14,"PM-D 2000",IF(J14=H14,"PM-C 1000",IF(J14=G14,"PM-B 500","PM-A 250"))))</f>
        <v/>
      </c>
      <c r="L14" s="178">
        <f>IF(E14="","",IF(J14&lt;=50,"URGENT",IF(J14&lt;=150,"MINGGU INI",IF(J14&lt;=300,"BULAN INI","AMAN"))))</f>
        <v/>
      </c>
    </row>
    <row r="15" ht="15" customHeight="1" s="97">
      <c r="A15" s="178" t="n">
        <v>10</v>
      </c>
      <c r="B15" s="178">
        <f>03_FLEET!B15</f>
        <v/>
      </c>
      <c r="C15" s="178">
        <f>03_FLEET!C15</f>
        <v/>
      </c>
      <c r="D15" s="175">
        <f>03_FLEET!D15</f>
        <v/>
      </c>
      <c r="E15" s="156">
        <f>03_FLEET!J15</f>
        <v/>
      </c>
      <c r="F15" s="156">
        <f>IF(E15="","",IF(MOD(E15,$B$3)=0,0,$B$3-MOD(E15,$B$3)))</f>
        <v/>
      </c>
      <c r="G15" s="156">
        <f>IF(E15="","",IF(MOD(E15,$E$3)=0,0,$E$3-MOD(E15,$E$3)))</f>
        <v/>
      </c>
      <c r="H15" s="156">
        <f>IF(E15="","",IF(MOD(E15,$H$3)=0,0,$H$3-MOD(E15,$H$3)))</f>
        <v/>
      </c>
      <c r="I15" s="156">
        <f>IF(E15="","",IF(MOD(E15,$K$3)=0,0,$K$3-MOD(E15,$K$3)))</f>
        <v/>
      </c>
      <c r="J15" s="156">
        <f>IF(E15="","",MIN(F15,G15,H15,I15))</f>
        <v/>
      </c>
      <c r="K15" s="178">
        <f>IF(E15="","",IF(J15=I15,"PM-D 2000",IF(J15=H15,"PM-C 1000",IF(J15=G15,"PM-B 500","PM-A 250"))))</f>
        <v/>
      </c>
      <c r="L15" s="178">
        <f>IF(E15="","",IF(J15&lt;=50,"URGENT",IF(J15&lt;=150,"MINGGU INI",IF(J15&lt;=300,"BULAN INI","AMAN"))))</f>
        <v/>
      </c>
    </row>
    <row r="16" ht="15" customHeight="1" s="97">
      <c r="A16" s="178" t="n">
        <v>11</v>
      </c>
      <c r="B16" s="178">
        <f>03_FLEET!B16</f>
        <v/>
      </c>
      <c r="C16" s="178">
        <f>03_FLEET!C16</f>
        <v/>
      </c>
      <c r="D16" s="175">
        <f>03_FLEET!D16</f>
        <v/>
      </c>
      <c r="E16" s="156">
        <f>03_FLEET!J16</f>
        <v/>
      </c>
      <c r="F16" s="156">
        <f>IF(E16="","",IF(MOD(E16,$B$3)=0,0,$B$3-MOD(E16,$B$3)))</f>
        <v/>
      </c>
      <c r="G16" s="156">
        <f>IF(E16="","",IF(MOD(E16,$E$3)=0,0,$E$3-MOD(E16,$E$3)))</f>
        <v/>
      </c>
      <c r="H16" s="156">
        <f>IF(E16="","",IF(MOD(E16,$H$3)=0,0,$H$3-MOD(E16,$H$3)))</f>
        <v/>
      </c>
      <c r="I16" s="156">
        <f>IF(E16="","",IF(MOD(E16,$K$3)=0,0,$K$3-MOD(E16,$K$3)))</f>
        <v/>
      </c>
      <c r="J16" s="156">
        <f>IF(E16="","",MIN(F16,G16,H16,I16))</f>
        <v/>
      </c>
      <c r="K16" s="178">
        <f>IF(E16="","",IF(J16=I16,"PM-D 2000",IF(J16=H16,"PM-C 1000",IF(J16=G16,"PM-B 500","PM-A 250"))))</f>
        <v/>
      </c>
      <c r="L16" s="178">
        <f>IF(E16="","",IF(J16&lt;=50,"URGENT",IF(J16&lt;=150,"MINGGU INI",IF(J16&lt;=300,"BULAN INI","AMAN"))))</f>
        <v/>
      </c>
    </row>
    <row r="17" ht="15" customHeight="1" s="97">
      <c r="A17" s="178" t="n">
        <v>12</v>
      </c>
      <c r="B17" s="178">
        <f>03_FLEET!B17</f>
        <v/>
      </c>
      <c r="C17" s="178">
        <f>03_FLEET!C17</f>
        <v/>
      </c>
      <c r="D17" s="175">
        <f>03_FLEET!D17</f>
        <v/>
      </c>
      <c r="E17" s="156">
        <f>03_FLEET!J17</f>
        <v/>
      </c>
      <c r="F17" s="156">
        <f>IF(E17="","",IF(MOD(E17,$B$3)=0,0,$B$3-MOD(E17,$B$3)))</f>
        <v/>
      </c>
      <c r="G17" s="156">
        <f>IF(E17="","",IF(MOD(E17,$E$3)=0,0,$E$3-MOD(E17,$E$3)))</f>
        <v/>
      </c>
      <c r="H17" s="156">
        <f>IF(E17="","",IF(MOD(E17,$H$3)=0,0,$H$3-MOD(E17,$H$3)))</f>
        <v/>
      </c>
      <c r="I17" s="156">
        <f>IF(E17="","",IF(MOD(E17,$K$3)=0,0,$K$3-MOD(E17,$K$3)))</f>
        <v/>
      </c>
      <c r="J17" s="156">
        <f>IF(E17="","",MIN(F17,G17,H17,I17))</f>
        <v/>
      </c>
      <c r="K17" s="178">
        <f>IF(E17="","",IF(J17=I17,"PM-D 2000",IF(J17=H17,"PM-C 1000",IF(J17=G17,"PM-B 500","PM-A 250"))))</f>
        <v/>
      </c>
      <c r="L17" s="178">
        <f>IF(E17="","",IF(J17&lt;=50,"URGENT",IF(J17&lt;=150,"MINGGU INI",IF(J17&lt;=300,"BULAN INI","AMAN"))))</f>
        <v/>
      </c>
    </row>
    <row r="18" ht="15" customHeight="1" s="97">
      <c r="A18" s="178" t="n">
        <v>13</v>
      </c>
      <c r="B18" s="178">
        <f>03_FLEET!B18</f>
        <v/>
      </c>
      <c r="C18" s="178">
        <f>03_FLEET!C18</f>
        <v/>
      </c>
      <c r="D18" s="175">
        <f>03_FLEET!D18</f>
        <v/>
      </c>
      <c r="E18" s="156">
        <f>03_FLEET!J18</f>
        <v/>
      </c>
      <c r="F18" s="156">
        <f>IF(E18="","",IF(MOD(E18,$B$3)=0,0,$B$3-MOD(E18,$B$3)))</f>
        <v/>
      </c>
      <c r="G18" s="156">
        <f>IF(E18="","",IF(MOD(E18,$E$3)=0,0,$E$3-MOD(E18,$E$3)))</f>
        <v/>
      </c>
      <c r="H18" s="156">
        <f>IF(E18="","",IF(MOD(E18,$H$3)=0,0,$H$3-MOD(E18,$H$3)))</f>
        <v/>
      </c>
      <c r="I18" s="156">
        <f>IF(E18="","",IF(MOD(E18,$K$3)=0,0,$K$3-MOD(E18,$K$3)))</f>
        <v/>
      </c>
      <c r="J18" s="156">
        <f>IF(E18="","",MIN(F18,G18,H18,I18))</f>
        <v/>
      </c>
      <c r="K18" s="178">
        <f>IF(E18="","",IF(J18=I18,"PM-D 2000",IF(J18=H18,"PM-C 1000",IF(J18=G18,"PM-B 500","PM-A 250"))))</f>
        <v/>
      </c>
      <c r="L18" s="178">
        <f>IF(E18="","",IF(J18&lt;=50,"URGENT",IF(J18&lt;=150,"MINGGU INI",IF(J18&lt;=300,"BULAN INI","AMAN"))))</f>
        <v/>
      </c>
    </row>
    <row r="19" ht="15" customHeight="1" s="97">
      <c r="A19" s="178" t="n">
        <v>14</v>
      </c>
      <c r="B19" s="178">
        <f>03_FLEET!B19</f>
        <v/>
      </c>
      <c r="C19" s="178">
        <f>03_FLEET!C19</f>
        <v/>
      </c>
      <c r="D19" s="175">
        <f>03_FLEET!D19</f>
        <v/>
      </c>
      <c r="E19" s="156">
        <f>03_FLEET!J19</f>
        <v/>
      </c>
      <c r="F19" s="156">
        <f>IF(E19="","",IF(MOD(E19,$B$3)=0,0,$B$3-MOD(E19,$B$3)))</f>
        <v/>
      </c>
      <c r="G19" s="156">
        <f>IF(E19="","",IF(MOD(E19,$E$3)=0,0,$E$3-MOD(E19,$E$3)))</f>
        <v/>
      </c>
      <c r="H19" s="156">
        <f>IF(E19="","",IF(MOD(E19,$H$3)=0,0,$H$3-MOD(E19,$H$3)))</f>
        <v/>
      </c>
      <c r="I19" s="156">
        <f>IF(E19="","",IF(MOD(E19,$K$3)=0,0,$K$3-MOD(E19,$K$3)))</f>
        <v/>
      </c>
      <c r="J19" s="156">
        <f>IF(E19="","",MIN(F19,G19,H19,I19))</f>
        <v/>
      </c>
      <c r="K19" s="178">
        <f>IF(E19="","",IF(J19=I19,"PM-D 2000",IF(J19=H19,"PM-C 1000",IF(J19=G19,"PM-B 500","PM-A 250"))))</f>
        <v/>
      </c>
      <c r="L19" s="178">
        <f>IF(E19="","",IF(J19&lt;=50,"URGENT",IF(J19&lt;=150,"MINGGU INI",IF(J19&lt;=300,"BULAN INI","AMAN"))))</f>
        <v/>
      </c>
    </row>
    <row r="20" ht="15" customHeight="1" s="97">
      <c r="A20" s="178" t="n">
        <v>15</v>
      </c>
      <c r="B20" s="178">
        <f>03_FLEET!B20</f>
        <v/>
      </c>
      <c r="C20" s="178">
        <f>03_FLEET!C20</f>
        <v/>
      </c>
      <c r="D20" s="175">
        <f>03_FLEET!D20</f>
        <v/>
      </c>
      <c r="E20" s="156">
        <f>03_FLEET!J20</f>
        <v/>
      </c>
      <c r="F20" s="156">
        <f>IF(E20="","",IF(MOD(E20,$B$3)=0,0,$B$3-MOD(E20,$B$3)))</f>
        <v/>
      </c>
      <c r="G20" s="156">
        <f>IF(E20="","",IF(MOD(E20,$E$3)=0,0,$E$3-MOD(E20,$E$3)))</f>
        <v/>
      </c>
      <c r="H20" s="156">
        <f>IF(E20="","",IF(MOD(E20,$H$3)=0,0,$H$3-MOD(E20,$H$3)))</f>
        <v/>
      </c>
      <c r="I20" s="156">
        <f>IF(E20="","",IF(MOD(E20,$K$3)=0,0,$K$3-MOD(E20,$K$3)))</f>
        <v/>
      </c>
      <c r="J20" s="156">
        <f>IF(E20="","",MIN(F20,G20,H20,I20))</f>
        <v/>
      </c>
      <c r="K20" s="178">
        <f>IF(E20="","",IF(J20=I20,"PM-D 2000",IF(J20=H20,"PM-C 1000",IF(J20=G20,"PM-B 500","PM-A 250"))))</f>
        <v/>
      </c>
      <c r="L20" s="178">
        <f>IF(E20="","",IF(J20&lt;=50,"URGENT",IF(J20&lt;=150,"MINGGU INI",IF(J20&lt;=300,"BULAN INI","AMAN"))))</f>
        <v/>
      </c>
    </row>
    <row r="21" ht="15" customHeight="1" s="97">
      <c r="A21" s="178" t="n">
        <v>16</v>
      </c>
      <c r="B21" s="178">
        <f>03_FLEET!B21</f>
        <v/>
      </c>
      <c r="C21" s="178">
        <f>03_FLEET!C21</f>
        <v/>
      </c>
      <c r="D21" s="175">
        <f>03_FLEET!D21</f>
        <v/>
      </c>
      <c r="E21" s="156">
        <f>03_FLEET!J21</f>
        <v/>
      </c>
      <c r="F21" s="156">
        <f>IF(E21="","",IF(MOD(E21,$B$3)=0,0,$B$3-MOD(E21,$B$3)))</f>
        <v/>
      </c>
      <c r="G21" s="156">
        <f>IF(E21="","",IF(MOD(E21,$E$3)=0,0,$E$3-MOD(E21,$E$3)))</f>
        <v/>
      </c>
      <c r="H21" s="156">
        <f>IF(E21="","",IF(MOD(E21,$H$3)=0,0,$H$3-MOD(E21,$H$3)))</f>
        <v/>
      </c>
      <c r="I21" s="156">
        <f>IF(E21="","",IF(MOD(E21,$K$3)=0,0,$K$3-MOD(E21,$K$3)))</f>
        <v/>
      </c>
      <c r="J21" s="156">
        <f>IF(E21="","",MIN(F21,G21,H21,I21))</f>
        <v/>
      </c>
      <c r="K21" s="178">
        <f>IF(E21="","",IF(J21=I21,"PM-D 2000",IF(J21=H21,"PM-C 1000",IF(J21=G21,"PM-B 500","PM-A 250"))))</f>
        <v/>
      </c>
      <c r="L21" s="178">
        <f>IF(E21="","",IF(J21&lt;=50,"URGENT",IF(J21&lt;=150,"MINGGU INI",IF(J21&lt;=300,"BULAN INI","AMAN"))))</f>
        <v/>
      </c>
    </row>
    <row r="22" ht="15" customHeight="1" s="97">
      <c r="A22" s="178" t="n">
        <v>17</v>
      </c>
      <c r="B22" s="178">
        <f>03_FLEET!B22</f>
        <v/>
      </c>
      <c r="C22" s="178">
        <f>03_FLEET!C22</f>
        <v/>
      </c>
      <c r="D22" s="175">
        <f>03_FLEET!D22</f>
        <v/>
      </c>
      <c r="E22" s="156">
        <f>03_FLEET!J22</f>
        <v/>
      </c>
      <c r="F22" s="156">
        <f>IF(E22="","",IF(MOD(E22,$B$3)=0,0,$B$3-MOD(E22,$B$3)))</f>
        <v/>
      </c>
      <c r="G22" s="156">
        <f>IF(E22="","",IF(MOD(E22,$E$3)=0,0,$E$3-MOD(E22,$E$3)))</f>
        <v/>
      </c>
      <c r="H22" s="156">
        <f>IF(E22="","",IF(MOD(E22,$H$3)=0,0,$H$3-MOD(E22,$H$3)))</f>
        <v/>
      </c>
      <c r="I22" s="156">
        <f>IF(E22="","",IF(MOD(E22,$K$3)=0,0,$K$3-MOD(E22,$K$3)))</f>
        <v/>
      </c>
      <c r="J22" s="156">
        <f>IF(E22="","",MIN(F22,G22,H22,I22))</f>
        <v/>
      </c>
      <c r="K22" s="178">
        <f>IF(E22="","",IF(J22=I22,"PM-D 2000",IF(J22=H22,"PM-C 1000",IF(J22=G22,"PM-B 500","PM-A 250"))))</f>
        <v/>
      </c>
      <c r="L22" s="178">
        <f>IF(E22="","",IF(J22&lt;=50,"URGENT",IF(J22&lt;=150,"MINGGU INI",IF(J22&lt;=300,"BULAN INI","AMAN"))))</f>
        <v/>
      </c>
    </row>
    <row r="23" ht="15" customHeight="1" s="97">
      <c r="A23" s="178" t="n">
        <v>18</v>
      </c>
      <c r="B23" s="178">
        <f>03_FLEET!B23</f>
        <v/>
      </c>
      <c r="C23" s="178">
        <f>03_FLEET!C23</f>
        <v/>
      </c>
      <c r="D23" s="175">
        <f>03_FLEET!D23</f>
        <v/>
      </c>
      <c r="E23" s="156">
        <f>03_FLEET!J23</f>
        <v/>
      </c>
      <c r="F23" s="156">
        <f>IF(E23="","",IF(MOD(E23,$B$3)=0,0,$B$3-MOD(E23,$B$3)))</f>
        <v/>
      </c>
      <c r="G23" s="156">
        <f>IF(E23="","",IF(MOD(E23,$E$3)=0,0,$E$3-MOD(E23,$E$3)))</f>
        <v/>
      </c>
      <c r="H23" s="156">
        <f>IF(E23="","",IF(MOD(E23,$H$3)=0,0,$H$3-MOD(E23,$H$3)))</f>
        <v/>
      </c>
      <c r="I23" s="156">
        <f>IF(E23="","",IF(MOD(E23,$K$3)=0,0,$K$3-MOD(E23,$K$3)))</f>
        <v/>
      </c>
      <c r="J23" s="156">
        <f>IF(E23="","",MIN(F23,G23,H23,I23))</f>
        <v/>
      </c>
      <c r="K23" s="178">
        <f>IF(E23="","",IF(J23=I23,"PM-D 2000",IF(J23=H23,"PM-C 1000",IF(J23=G23,"PM-B 500","PM-A 250"))))</f>
        <v/>
      </c>
      <c r="L23" s="178">
        <f>IF(E23="","",IF(J23&lt;=50,"URGENT",IF(J23&lt;=150,"MINGGU INI",IF(J23&lt;=300,"BULAN INI","AMAN"))))</f>
        <v/>
      </c>
    </row>
    <row r="24" ht="15" customHeight="1" s="97">
      <c r="A24" s="178" t="n">
        <v>19</v>
      </c>
      <c r="B24" s="178">
        <f>03_FLEET!B24</f>
        <v/>
      </c>
      <c r="C24" s="178">
        <f>03_FLEET!C24</f>
        <v/>
      </c>
      <c r="D24" s="175">
        <f>03_FLEET!D24</f>
        <v/>
      </c>
      <c r="E24" s="156">
        <f>03_FLEET!J24</f>
        <v/>
      </c>
      <c r="F24" s="156">
        <f>IF(E24="","",IF(MOD(E24,$B$3)=0,0,$B$3-MOD(E24,$B$3)))</f>
        <v/>
      </c>
      <c r="G24" s="156">
        <f>IF(E24="","",IF(MOD(E24,$E$3)=0,0,$E$3-MOD(E24,$E$3)))</f>
        <v/>
      </c>
      <c r="H24" s="156">
        <f>IF(E24="","",IF(MOD(E24,$H$3)=0,0,$H$3-MOD(E24,$H$3)))</f>
        <v/>
      </c>
      <c r="I24" s="156">
        <f>IF(E24="","",IF(MOD(E24,$K$3)=0,0,$K$3-MOD(E24,$K$3)))</f>
        <v/>
      </c>
      <c r="J24" s="156">
        <f>IF(E24="","",MIN(F24,G24,H24,I24))</f>
        <v/>
      </c>
      <c r="K24" s="178">
        <f>IF(E24="","",IF(J24=I24,"PM-D 2000",IF(J24=H24,"PM-C 1000",IF(J24=G24,"PM-B 500","PM-A 250"))))</f>
        <v/>
      </c>
      <c r="L24" s="178">
        <f>IF(E24="","",IF(J24&lt;=50,"URGENT",IF(J24&lt;=150,"MINGGU INI",IF(J24&lt;=300,"BULAN INI","AMAN"))))</f>
        <v/>
      </c>
    </row>
    <row r="25" ht="15" customHeight="1" s="97">
      <c r="A25" s="178" t="n">
        <v>20</v>
      </c>
      <c r="B25" s="178">
        <f>03_FLEET!B25</f>
        <v/>
      </c>
      <c r="C25" s="178">
        <f>03_FLEET!C25</f>
        <v/>
      </c>
      <c r="D25" s="175">
        <f>03_FLEET!D25</f>
        <v/>
      </c>
      <c r="E25" s="156">
        <f>03_FLEET!J25</f>
        <v/>
      </c>
      <c r="F25" s="156">
        <f>IF(E25="","",IF(MOD(E25,$B$3)=0,0,$B$3-MOD(E25,$B$3)))</f>
        <v/>
      </c>
      <c r="G25" s="156">
        <f>IF(E25="","",IF(MOD(E25,$E$3)=0,0,$E$3-MOD(E25,$E$3)))</f>
        <v/>
      </c>
      <c r="H25" s="156">
        <f>IF(E25="","",IF(MOD(E25,$H$3)=0,0,$H$3-MOD(E25,$H$3)))</f>
        <v/>
      </c>
      <c r="I25" s="156">
        <f>IF(E25="","",IF(MOD(E25,$K$3)=0,0,$K$3-MOD(E25,$K$3)))</f>
        <v/>
      </c>
      <c r="J25" s="156">
        <f>IF(E25="","",MIN(F25,G25,H25,I25))</f>
        <v/>
      </c>
      <c r="K25" s="178">
        <f>IF(E25="","",IF(J25=I25,"PM-D 2000",IF(J25=H25,"PM-C 1000",IF(J25=G25,"PM-B 500","PM-A 250"))))</f>
        <v/>
      </c>
      <c r="L25" s="178">
        <f>IF(E25="","",IF(J25&lt;=50,"URGENT",IF(J25&lt;=150,"MINGGU INI",IF(J25&lt;=300,"BULAN INI","AMAN"))))</f>
        <v/>
      </c>
    </row>
    <row r="26" ht="15" customHeight="1" s="97">
      <c r="A26" s="178" t="n">
        <v>21</v>
      </c>
      <c r="B26" s="178">
        <f>03_FLEET!B26</f>
        <v/>
      </c>
      <c r="C26" s="178">
        <f>03_FLEET!C26</f>
        <v/>
      </c>
      <c r="D26" s="175">
        <f>03_FLEET!D26</f>
        <v/>
      </c>
      <c r="E26" s="156">
        <f>03_FLEET!J26</f>
        <v/>
      </c>
      <c r="F26" s="156">
        <f>IF(E26="","",IF(MOD(E26,$B$3)=0,0,$B$3-MOD(E26,$B$3)))</f>
        <v/>
      </c>
      <c r="G26" s="156">
        <f>IF(E26="","",IF(MOD(E26,$E$3)=0,0,$E$3-MOD(E26,$E$3)))</f>
        <v/>
      </c>
      <c r="H26" s="156">
        <f>IF(E26="","",IF(MOD(E26,$H$3)=0,0,$H$3-MOD(E26,$H$3)))</f>
        <v/>
      </c>
      <c r="I26" s="156">
        <f>IF(E26="","",IF(MOD(E26,$K$3)=0,0,$K$3-MOD(E26,$K$3)))</f>
        <v/>
      </c>
      <c r="J26" s="156">
        <f>IF(E26="","",MIN(F26,G26,H26,I26))</f>
        <v/>
      </c>
      <c r="K26" s="178">
        <f>IF(E26="","",IF(J26=I26,"PM-D 2000",IF(J26=H26,"PM-C 1000",IF(J26=G26,"PM-B 500","PM-A 250"))))</f>
        <v/>
      </c>
      <c r="L26" s="178">
        <f>IF(E26="","",IF(J26&lt;=50,"URGENT",IF(J26&lt;=150,"MINGGU INI",IF(J26&lt;=300,"BULAN INI","AMAN"))))</f>
        <v/>
      </c>
    </row>
    <row r="27" ht="15" customHeight="1" s="97">
      <c r="A27" s="178" t="n">
        <v>22</v>
      </c>
      <c r="B27" s="178">
        <f>03_FLEET!B27</f>
        <v/>
      </c>
      <c r="C27" s="178">
        <f>03_FLEET!C27</f>
        <v/>
      </c>
      <c r="D27" s="175">
        <f>03_FLEET!D27</f>
        <v/>
      </c>
      <c r="E27" s="156">
        <f>03_FLEET!J27</f>
        <v/>
      </c>
      <c r="F27" s="156">
        <f>IF(E27="","",IF(MOD(E27,$B$3)=0,0,$B$3-MOD(E27,$B$3)))</f>
        <v/>
      </c>
      <c r="G27" s="156">
        <f>IF(E27="","",IF(MOD(E27,$E$3)=0,0,$E$3-MOD(E27,$E$3)))</f>
        <v/>
      </c>
      <c r="H27" s="156">
        <f>IF(E27="","",IF(MOD(E27,$H$3)=0,0,$H$3-MOD(E27,$H$3)))</f>
        <v/>
      </c>
      <c r="I27" s="156">
        <f>IF(E27="","",IF(MOD(E27,$K$3)=0,0,$K$3-MOD(E27,$K$3)))</f>
        <v/>
      </c>
      <c r="J27" s="156">
        <f>IF(E27="","",MIN(F27,G27,H27,I27))</f>
        <v/>
      </c>
      <c r="K27" s="178">
        <f>IF(E27="","",IF(J27=I27,"PM-D 2000",IF(J27=H27,"PM-C 1000",IF(J27=G27,"PM-B 500","PM-A 250"))))</f>
        <v/>
      </c>
      <c r="L27" s="178">
        <f>IF(E27="","",IF(J27&lt;=50,"URGENT",IF(J27&lt;=150,"MINGGU INI",IF(J27&lt;=300,"BULAN INI","AMAN"))))</f>
        <v/>
      </c>
    </row>
    <row r="29" ht="15" customHeight="1" s="97">
      <c r="A29" s="153" t="inlineStr">
        <is>
          <t>REKAP PRIORITAS PM</t>
        </is>
      </c>
      <c r="E29" s="145" t="inlineStr">
        <is>
          <t>PAKET PM RINGKAS (sesuaikan lubrication chart pabrikan):
• PM-A 250 SMH: engine oil &amp; filter, drain water separator, cek level hidraulik, walkaround, grease point, wind washer, air filter restriction.
• PM-B 500 SMH: PM-A + fuel filter, hydraulic filter (jika due), final drive oil sample, brake &amp; cooling check.
• PM-C 1000 SMH: PM-B + hydraulic oil (tergantung lab), transmission/torque converter, swing device, coolant SCA, undercarriage measure.
• PM-D 2000 SMH: PM-C + major inspection struktur, pin &amp; bushing, engine valve lash (per manual), radiator clean, electrical load test.
Update SMH di sheet 03_FLEET setiap minggu. Warna prioritas otomatis.</t>
        </is>
      </c>
      <c r="F29" s="107" t="n"/>
      <c r="G29" s="107" t="n"/>
      <c r="H29" s="107" t="n"/>
      <c r="I29" s="107" t="n"/>
      <c r="J29" s="107" t="n"/>
      <c r="K29" s="107" t="n"/>
      <c r="L29" s="108" t="n"/>
    </row>
    <row r="30" ht="15" customHeight="1" s="97">
      <c r="A30" s="191" t="inlineStr">
        <is>
          <t>URGENT (≤ 50 SMH)</t>
        </is>
      </c>
      <c r="B30" s="104" t="n"/>
      <c r="C30" s="159">
        <f>COUNTIF(L6:L27,"URGENT")</f>
        <v/>
      </c>
      <c r="E30" s="109" t="n"/>
      <c r="L30" s="110" t="n"/>
    </row>
    <row r="31" ht="15" customHeight="1" s="97">
      <c r="A31" s="191" t="inlineStr">
        <is>
          <t>MINGGU INI (≤ 150 SMH)</t>
        </is>
      </c>
      <c r="B31" s="104" t="n"/>
      <c r="C31" s="192">
        <f>COUNTIF(L6:L27,"MINGGU INI")</f>
        <v/>
      </c>
      <c r="E31" s="109" t="n"/>
      <c r="L31" s="110" t="n"/>
    </row>
    <row r="32" ht="15" customHeight="1" s="97">
      <c r="A32" s="191" t="inlineStr">
        <is>
          <t>BULAN INI (≤ 300 SMH)</t>
        </is>
      </c>
      <c r="B32" s="104" t="n"/>
      <c r="C32" s="155">
        <f>COUNTIF(L6:L27,"BULAN INI")</f>
        <v/>
      </c>
      <c r="E32" s="109" t="n"/>
      <c r="L32" s="110" t="n"/>
    </row>
    <row r="33" ht="15" customHeight="1" s="97">
      <c r="A33" s="191" t="inlineStr">
        <is>
          <t>AMAN</t>
        </is>
      </c>
      <c r="B33" s="104" t="n"/>
      <c r="C33" s="158">
        <f>COUNTIF(L6:L27,"AMAN")</f>
        <v/>
      </c>
      <c r="E33" s="112" t="n"/>
      <c r="F33" s="113" t="n"/>
      <c r="G33" s="113" t="n"/>
      <c r="H33" s="113" t="n"/>
      <c r="I33" s="113" t="n"/>
      <c r="J33" s="113" t="n"/>
      <c r="K33" s="113" t="n"/>
      <c r="L33" s="114" t="n"/>
    </row>
  </sheetData>
  <autoFilter ref="A5:L27"/>
  <mergeCells count="8">
    <mergeCell ref="A2:L2"/>
    <mergeCell ref="A30:B30"/>
    <mergeCell ref="E29:L33"/>
    <mergeCell ref="A33:B33"/>
    <mergeCell ref="A1:L1"/>
    <mergeCell ref="A32:B32"/>
    <mergeCell ref="A29:C29"/>
    <mergeCell ref="A31:B31"/>
  </mergeCells>
  <conditionalFormatting sqref="L6:L27">
    <cfRule type="expression" rank="0" priority="2" equalAverage="0" aboveAverage="0" dxfId="22" text="" percent="0" bottom="0">
      <formula>L6="URGENT"</formula>
    </cfRule>
    <cfRule type="expression" rank="0" priority="3" equalAverage="0" aboveAverage="0" dxfId="17" text="" percent="0" bottom="0">
      <formula>L6="MINGGU INI"</formula>
    </cfRule>
    <cfRule type="expression" rank="0" priority="4" equalAverage="0" aboveAverage="0" dxfId="19" text="" percent="0" bottom="0">
      <formula>L6="BULAN INI"</formula>
    </cfRule>
    <cfRule type="expression" rank="0" priority="5" equalAverage="0" aboveAverage="0" dxfId="16" text="" percent="0" bottom="0">
      <formula>L6="AMAN"</formula>
    </cfRule>
  </conditionalFormatting>
  <printOptions horizontalCentered="1" verticalCentered="0" headings="0" gridLines="0" gridLinesSet="1"/>
  <pageMargins left="0.75" right="0.75" top="1" bottom="1" header="0.5" footer="0.511811023622047"/>
  <pageSetup orientation="landscape" paperSize="9" scale="100" fitToHeight="1" fitToWidth="1" pageOrder="downThenOver" blackAndWhite="0" draft="0" horizontalDpi="300" verticalDpi="300" copies="1"/>
  <headerFooter differentOddEven="0" differentFirst="0">
    <oddHeader>&amp;L07_PM_PLANNER — Jadwal Preventive Maintenance</oddHeader>
    <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B1:H31"/>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3" customWidth="1" style="96" min="1" max="1"/>
    <col width="24" customWidth="1" style="96" min="2" max="2"/>
    <col width="16" customWidth="1" style="96" min="3" max="7"/>
    <col width="20" customWidth="1" style="96" min="8" max="8"/>
  </cols>
  <sheetData>
    <row r="1" ht="25.5" customHeight="1" s="97">
      <c r="B1" s="98" t="inlineStr">
        <is>
          <t>DASHBOARD PLANNER ALAT BERAT</t>
        </is>
      </c>
    </row>
    <row r="2" ht="15" customHeight="1" s="97">
      <c r="B2" s="193">
        <f>CONCATENATE(01_COVER!C8,"  •  ",01_COVER!C10,"  •  ",01_COVER!C7)</f>
        <v/>
      </c>
    </row>
    <row r="4" ht="21.75" customHeight="1" s="97">
      <c r="B4" s="194" t="inlineStr">
        <is>
          <t>TARGET OB</t>
        </is>
      </c>
      <c r="C4" s="195">
        <f>02_ASUMSI!C28</f>
        <v/>
      </c>
      <c r="D4" s="196" t="inlineStr">
        <is>
          <t>BCM/bln</t>
        </is>
      </c>
      <c r="E4" s="194" t="inlineStr">
        <is>
          <t>TARGET COAL</t>
        </is>
      </c>
      <c r="F4" s="195">
        <f>02_ASUMSI!C29</f>
        <v/>
      </c>
      <c r="G4" s="196" t="inlineStr">
        <is>
          <t>ton/bln</t>
        </is>
      </c>
    </row>
    <row r="5" ht="21.75" customHeight="1" s="97">
      <c r="B5" s="194" t="inlineStr">
        <is>
          <t>SR RENCANA</t>
        </is>
      </c>
      <c r="C5" s="197">
        <f>02_ASUMSI!C30</f>
        <v/>
      </c>
      <c r="D5" s="196" t="inlineStr">
        <is>
          <t>BCM/ton</t>
        </is>
      </c>
      <c r="E5" s="194" t="inlineStr">
        <is>
          <t>SR HITUNG</t>
        </is>
      </c>
      <c r="F5" s="197">
        <f>02_ASUMSI!C36</f>
        <v/>
      </c>
      <c r="G5" s="196" t="inlineStr">
        <is>
          <t>BCM/ton</t>
        </is>
      </c>
    </row>
    <row r="6" ht="21.75" customHeight="1" s="97">
      <c r="B6" s="194" t="inlineStr">
        <is>
          <t>JAM EFEKTIF / HARI</t>
        </is>
      </c>
      <c r="C6" s="197">
        <f>02_ASUMSI!C13</f>
        <v/>
      </c>
      <c r="D6" s="196" t="inlineStr">
        <is>
          <t>jam</t>
        </is>
      </c>
      <c r="E6" s="194" t="inlineStr">
        <is>
          <t>PA × UA</t>
        </is>
      </c>
      <c r="F6" s="198">
        <f>02_ASUMSI!C10*02_ASUMSI!C11</f>
        <v/>
      </c>
      <c r="G6" s="196" t="inlineStr">
        <is>
          <t>efisiensi gabungan</t>
        </is>
      </c>
    </row>
    <row r="8" ht="15" customHeight="1" s="97">
      <c r="B8" s="126" t="inlineStr">
        <is>
          <t xml:space="preserve">  STATUS FLEET &amp; MATCH FACTOR</t>
        </is>
      </c>
    </row>
    <row r="9" ht="15" customHeight="1" s="97">
      <c r="B9" s="199" t="inlineStr">
        <is>
          <t>Total unit</t>
        </is>
      </c>
      <c r="C9" s="155">
        <f>03_FLEET!C30</f>
        <v/>
      </c>
      <c r="D9" s="199" t="inlineStr">
        <is>
          <t>Operasi</t>
        </is>
      </c>
      <c r="E9" s="155">
        <f>03_FLEET!C31</f>
        <v/>
      </c>
      <c r="F9" s="199" t="inlineStr">
        <is>
          <t>% Operasi</t>
        </is>
      </c>
      <c r="G9" s="155">
        <f>03_FLEET!C36</f>
        <v/>
      </c>
    </row>
    <row r="10" ht="15" customHeight="1" s="97">
      <c r="B10" s="199" t="inlineStr">
        <is>
          <t>Breakdown + waiting part</t>
        </is>
      </c>
      <c r="C10" s="155">
        <f>03_FLEET!C34+03_FLEET!C35</f>
        <v/>
      </c>
      <c r="D10" s="199" t="inlineStr">
        <is>
          <t>PM berjalan</t>
        </is>
      </c>
      <c r="E10" s="155">
        <f>03_FLEET!C33</f>
        <v/>
      </c>
      <c r="F10" s="199" t="inlineStr">
        <is>
          <t>Standby</t>
        </is>
      </c>
      <c r="G10" s="155">
        <f>03_FLEET!C32</f>
        <v/>
      </c>
    </row>
    <row r="11" ht="15" customHeight="1" s="97">
      <c r="B11" s="199" t="inlineStr">
        <is>
          <t>MF Fleet OB</t>
        </is>
      </c>
      <c r="C11" s="161">
        <f>05_MATCH_FACTOR!C11</f>
        <v/>
      </c>
      <c r="D11" s="199" t="inlineStr">
        <is>
          <t>Gap DT OB</t>
        </is>
      </c>
      <c r="E11" s="155">
        <f>05_MATCH_FACTOR!C14</f>
        <v/>
      </c>
      <c r="F11" s="199" t="inlineStr">
        <is>
          <t>N_DT ideal OB</t>
        </is>
      </c>
      <c r="G11" s="155">
        <f>05_MATCH_FACTOR!C13</f>
        <v/>
      </c>
    </row>
    <row r="12" ht="15" customHeight="1" s="97">
      <c r="B12" s="199" t="inlineStr">
        <is>
          <t>MF Fleet Coal</t>
        </is>
      </c>
      <c r="C12" s="161">
        <f>05_MATCH_FACTOR!C22</f>
        <v/>
      </c>
      <c r="D12" s="199" t="inlineStr">
        <is>
          <t>Gap DT coal</t>
        </is>
      </c>
      <c r="E12" s="155">
        <f>05_MATCH_FACTOR!C25</f>
        <v/>
      </c>
      <c r="F12" s="199" t="inlineStr">
        <is>
          <t>N_DT ideal coal</t>
        </is>
      </c>
      <c r="G12" s="155">
        <f>05_MATCH_FACTOR!C24</f>
        <v/>
      </c>
    </row>
    <row r="14" ht="15" customHeight="1" s="97">
      <c r="B14" s="126" t="inlineStr">
        <is>
          <t xml:space="preserve">  KAPASITAS PRODUKSI TEORITIS vs TARGET</t>
        </is>
      </c>
    </row>
    <row r="15" ht="15" customHeight="1" s="97">
      <c r="B15" s="115" t="inlineStr">
        <is>
          <t>Uraian</t>
        </is>
      </c>
      <c r="C15" s="115" t="inlineStr">
        <is>
          <t>Kapasitas teoritis</t>
        </is>
      </c>
      <c r="D15" s="115" t="inlineStr">
        <is>
          <t>Target</t>
        </is>
      </c>
      <c r="E15" s="115" t="inlineStr">
        <is>
          <t>Pencapaian teoritis</t>
        </is>
      </c>
      <c r="F15" s="115" t="inlineStr">
        <is>
          <t>Status</t>
        </is>
      </c>
      <c r="G15" s="104" t="n"/>
      <c r="H15" s="105" t="n"/>
    </row>
    <row r="16" ht="15" customHeight="1" s="97">
      <c r="B16" s="127" t="inlineStr">
        <is>
          <t>OB dari EX 120 t operasi</t>
        </is>
      </c>
      <c r="C16" s="156">
        <f>04_PRODUKTIVITAS!E14*06_KEBUTUHAN!G6</f>
        <v/>
      </c>
      <c r="D16" s="156">
        <f>02_ASUMSI!C28</f>
        <v/>
      </c>
      <c r="E16" s="160">
        <f>IF(D16=0,0,C16/D16)</f>
        <v/>
      </c>
      <c r="F16" s="178">
        <f>IF(E16&gt;=1,"CUKUP / SURPLUS",IF(E16&gt;=0.85,"MARJINAL","KURANG"))</f>
        <v/>
      </c>
      <c r="G16" s="104" t="n"/>
      <c r="H16" s="105" t="n"/>
    </row>
    <row r="17" ht="15" customHeight="1" s="97">
      <c r="B17" s="127" t="inlineStr">
        <is>
          <t>OB dari DT 100 t operasi</t>
        </is>
      </c>
      <c r="C17" s="156">
        <f>04_PRODUKTIVITAS!C35*05_MATCH_FACTOR!C7</f>
        <v/>
      </c>
      <c r="D17" s="156">
        <f>02_ASUMSI!C28</f>
        <v/>
      </c>
      <c r="E17" s="160">
        <f>IF(D17=0,0,C17/D17)</f>
        <v/>
      </c>
      <c r="F17" s="178">
        <f>IF(E17&gt;=1,"CUKUP / SURPLUS",IF(E17&gt;=0.85,"MARJINAL","KURANG"))</f>
        <v/>
      </c>
      <c r="G17" s="104" t="n"/>
      <c r="H17" s="105" t="n"/>
    </row>
    <row r="18" ht="15" customHeight="1" s="97">
      <c r="B18" s="127" t="inlineStr">
        <is>
          <t>Coal dari EX 40 t operasi</t>
        </is>
      </c>
      <c r="C18" s="156">
        <f>04_PRODUKTIVITAS!F14*1.3*06_KEBUTUHAN!G9</f>
        <v/>
      </c>
      <c r="D18" s="156">
        <f>02_ASUMSI!C29</f>
        <v/>
      </c>
      <c r="E18" s="160">
        <f>IF(D18=0,0,C18/D18)</f>
        <v/>
      </c>
      <c r="F18" s="178">
        <f>IF(E18&gt;=1,"CUKUP / SURPLUS",IF(E18&gt;=0.85,"MARJINAL","KURANG"))</f>
        <v/>
      </c>
      <c r="G18" s="104" t="n"/>
      <c r="H18" s="105" t="n"/>
    </row>
    <row r="19" ht="15" customHeight="1" s="97">
      <c r="B19" s="127" t="inlineStr">
        <is>
          <t>BBM utama / bulan</t>
        </is>
      </c>
      <c r="C19" s="186">
        <f>06_KEBUTUHAN!H25</f>
        <v/>
      </c>
      <c r="D19" s="178" t="inlineStr">
        <is>
          <t>lihat 06</t>
        </is>
      </c>
      <c r="E19" s="178" t="inlineStr">
        <is>
          <t>—</t>
        </is>
      </c>
      <c r="F19" s="178" t="inlineStr">
        <is>
          <t>Excavator besar + DT + dozer</t>
        </is>
      </c>
      <c r="G19" s="104" t="n"/>
      <c r="H19" s="105" t="n"/>
    </row>
    <row r="21" ht="15" customHeight="1" s="97">
      <c r="B21" s="101" t="inlineStr">
        <is>
          <t xml:space="preserve">  PRIORITAS TINDAKAN PLANNER</t>
        </is>
      </c>
    </row>
    <row r="22" ht="15" customHeight="1" s="97">
      <c r="B22" s="179" t="inlineStr">
        <is>
          <t>1) Kunci time study cycle time excavator &amp; dump truck per front (minimal 2 shift, 3 hari). Ganti angka default di 02_ASUMSI dan 04_PRODUKTIVITAS.
2) Jika MF OB di luar 0,90–1,20: geser DT antar front atau ajukan sewa/pengembalian unit. Jangan biarkan excavator 120 t idle.
3) Unit URGENT di 07_PM_PLANNER harus masuk weekly schedule workshop sebelum hour meter tembus interval.
4) GAP positif di 06_KEBUTUHAN = risiko gagal target RKAB. Opsi: tambah rental, naikkan UA (kurangi antrian), perpendek haul, atau revisi target mingguan.
5) Update SMH &amp; status unit setiap Senin. Dashboard ini hanya benar jika 03_FLEET hidup.
6) Simpan file sebagai: Planner_AlatBerat_[Site]_[YYYYMM].xlsx dan lampirkan di rapat production weekly.</t>
        </is>
      </c>
      <c r="C22" s="107" t="n"/>
      <c r="D22" s="107" t="n"/>
      <c r="E22" s="107" t="n"/>
      <c r="F22" s="107" t="n"/>
      <c r="G22" s="107" t="n"/>
      <c r="H22" s="108" t="n"/>
    </row>
    <row r="23" ht="15" customHeight="1" s="97">
      <c r="B23" s="109" t="n"/>
      <c r="H23" s="110" t="n"/>
    </row>
    <row r="24" ht="15" customHeight="1" s="97">
      <c r="B24" s="109" t="n"/>
      <c r="H24" s="110" t="n"/>
    </row>
    <row r="25" ht="15" customHeight="1" s="97">
      <c r="B25" s="109" t="n"/>
      <c r="H25" s="110" t="n"/>
    </row>
    <row r="26" ht="15" customHeight="1" s="97">
      <c r="B26" s="109" t="n"/>
      <c r="H26" s="110" t="n"/>
    </row>
    <row r="27" ht="15" customHeight="1" s="97">
      <c r="B27" s="112" t="n"/>
      <c r="C27" s="113" t="n"/>
      <c r="D27" s="113" t="n"/>
      <c r="E27" s="113" t="n"/>
      <c r="F27" s="113" t="n"/>
      <c r="G27" s="113" t="n"/>
      <c r="H27" s="114" t="n"/>
    </row>
    <row r="29" ht="15" customHeight="1" s="97">
      <c r="B29" s="200" t="inlineStr">
        <is>
          <t>Acuan: Kepmen ESDM 1827 K/30/MEM/2018 Lampiran II (kebutuhan peralatan, unjuk kerja, jam kerja efektif); SNI terkait K3 alat berat dan jalan tambang bila berlaku di site; lubrication chart pabrikan. Workbook ini bukan pengganti software mine planning (Minescape, Surpac, Deswik) maupun FMS. Keputusan final oleh Mine Manager / Superintendent Production &amp; Plant.</t>
        </is>
      </c>
      <c r="C29" s="107" t="n"/>
      <c r="D29" s="107" t="n"/>
      <c r="E29" s="107" t="n"/>
      <c r="F29" s="107" t="n"/>
      <c r="G29" s="107" t="n"/>
      <c r="H29" s="108" t="n"/>
    </row>
    <row r="30" ht="15" customHeight="1" s="97">
      <c r="B30" s="109" t="n"/>
      <c r="H30" s="110" t="n"/>
    </row>
    <row r="31" ht="15" customHeight="1" s="97">
      <c r="B31" s="112" t="n"/>
      <c r="C31" s="113" t="n"/>
      <c r="D31" s="113" t="n"/>
      <c r="E31" s="113" t="n"/>
      <c r="F31" s="113" t="n"/>
      <c r="G31" s="113" t="n"/>
      <c r="H31" s="114" t="n"/>
    </row>
  </sheetData>
  <mergeCells count="12">
    <mergeCell ref="B8:H8"/>
    <mergeCell ref="B14:H14"/>
    <mergeCell ref="F16:H16"/>
    <mergeCell ref="F19:H19"/>
    <mergeCell ref="B1:H1"/>
    <mergeCell ref="F18:H18"/>
    <mergeCell ref="B21:H21"/>
    <mergeCell ref="B22:H27"/>
    <mergeCell ref="B2:H2"/>
    <mergeCell ref="B29:H31"/>
    <mergeCell ref="F17:H17"/>
    <mergeCell ref="F15:H15"/>
  </mergeCells>
  <conditionalFormatting sqref="F16:F18">
    <cfRule type="expression" rank="0" priority="2" equalAverage="0" aboveAverage="0" dxfId="16" text="" percent="0" bottom="0">
      <formula>F16="CUKUP / SURPLUS"</formula>
    </cfRule>
    <cfRule type="expression" rank="0" priority="3" equalAverage="0" aboveAverage="0" dxfId="17" text="" percent="0" bottom="0">
      <formula>F16="MARJINAL"</formula>
    </cfRule>
    <cfRule type="expression" rank="0" priority="4" equalAverage="0" aboveAverage="0" dxfId="18" text="" percent="0" bottom="0">
      <formula>F16="KURANG"</formula>
    </cfRule>
  </conditionalFormatting>
  <printOptions horizontalCentered="1" verticalCentered="0" headings="0" gridLines="0" gridLinesSet="1"/>
  <pageMargins left="0.75" right="0.75" top="1" bottom="1" header="0.5" footer="0.511811023622047"/>
  <pageSetup orientation="landscape" paperSize="9" scale="100" fitToHeight="1" fitToWidth="1" pageOrder="downThenOver" blackAndWhite="0" draft="0" horizontalDpi="300" verticalDpi="300" copies="1"/>
  <headerFooter differentOddEven="0" differentFirst="0">
    <oddHeader>&amp;L08_DASHBOARD — Ringkasan Planner</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2026-09-07T18:57:55Z</dcterms:created>
  <dcterms:modified xmlns:dcterms="http://purl.org/dc/terms/" xmlns:xsi="http://www.w3.org/2001/XMLSchema-instance" xsi:type="dcterms:W3CDTF">2026-09-07T19:02:31Z</dcterms:modified>
  <cp:revision>0</cp:revision>
</cp:coreProperties>
</file>