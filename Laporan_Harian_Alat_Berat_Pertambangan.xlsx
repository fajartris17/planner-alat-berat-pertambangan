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1_COVER" sheetId="1" state="visible" r:id="rId3"/>
    <sheet name="02_PRODUKSI" sheetId="2" state="visible" r:id="rId4"/>
    <sheet name="03_TIMESHEET" sheetId="3" state="visible" r:id="rId5"/>
    <sheet name="04_KPI" sheetId="4" state="visible" r:id="rId6"/>
    <sheet name="05_BREAKDOWN" sheetId="5" state="visible" r:id="rId7"/>
    <sheet name="06_REKAP" sheetId="6" state="visible" r:id="rId8"/>
  </sheets>
  <definedNames>
    <definedName function="false" hidden="false" localSheetId="0" name="_xlnm.Print_Area" vbProcedure="false">01_COVER!$B$2:$H$38</definedName>
    <definedName function="false" hidden="false" localSheetId="1" name="_xlnm.Print_Area" vbProcedure="false">02_PRODUKSI!$B$2:$K$26</definedName>
    <definedName function="false" hidden="true" localSheetId="1" name="_xlnm._FilterDatabase" vbProcedure="false">02_PRODUKSI!$B$5:$K$12</definedName>
    <definedName function="false" hidden="false" localSheetId="2" name="_xlnm.Print_Area" vbProcedure="false">03_TIMESHEET!$B$2:$O$33</definedName>
    <definedName function="false" hidden="true" localSheetId="2" name="_xlnm._FilterDatabase" vbProcedure="false">03_TIMESHEET!$B$5:$N$26</definedName>
    <definedName function="false" hidden="false" localSheetId="3" name="_xlnm.Print_Area" vbProcedure="false">04_KPI!$B$2:$I$23</definedName>
    <definedName function="false" hidden="false" localSheetId="4" name="_xlnm.Print_Area" vbProcedure="false">05_BREAKDOWN!$B$2:$K$18</definedName>
    <definedName function="false" hidden="true" localSheetId="4" name="_xlnm._FilterDatabase" vbProcedure="false">05_BREAKDOWN!$B$5:$K$12</definedName>
    <definedName function="false" hidden="false" localSheetId="5" name="_xlnm.Print_Area" vbProcedure="false">06_REKAP!$B$2:$H$23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<sst xmlns="http://schemas.openxmlformats.org/spreadsheetml/2006/main" count="423" uniqueCount="289">
  <si>
    <t xml:space="preserve">LAPORAN HARIAN PRODUKSI &amp; UTILISASI ALAT BERAT</t>
  </si>
  <si>
    <t xml:space="preserve">Daily Production &amp; Equipment Utilization Report  •  Open Pit Coal  •  Contoh site Kalimantan Selatan</t>
  </si>
  <si>
    <t xml:space="preserve">IDENTITAS SITE  (sel kuning = input)</t>
  </si>
  <si>
    <t xml:space="preserve">CARA PAKAI</t>
  </si>
  <si>
    <t xml:space="preserve">Nama Perusahaan</t>
  </si>
  <si>
    <t xml:space="preserve">PT Contoh Mining Indonesia</t>
  </si>
  <si>
    <t xml:space="preserve">1. Isi identitas kiri (sel kuning).
2. Isi 02_PRODUKSI — plan vs actual OB &amp; coal per front.
3. Isi 03_TIMESHEET — SMH awal/akhir, status, BBM, delay tiap unit.
4. Baca 04_KPI — PA, UA, EU, produktivitas, BBM/BCM otomatis.
5. Isi 05_BREAKDOWN — unit rusak / waiting part / PM.
6. Cetak 06_REKAP untuk morning meeting esok hari.
Angka BIRU di latar KUNING = input. Sel lain = rumus, jangan ditimpa.</t>
  </si>
  <si>
    <t xml:space="preserve">Site / Pit</t>
  </si>
  <si>
    <t xml:space="preserve">Pit A — Kalimantan Selatan</t>
  </si>
  <si>
    <t xml:space="preserve">Komoditas</t>
  </si>
  <si>
    <t xml:space="preserve">Batubara — Open Pit</t>
  </si>
  <si>
    <t xml:space="preserve">Tanggal laporan</t>
  </si>
  <si>
    <t xml:space="preserve">Shift tercakup</t>
  </si>
  <si>
    <t xml:space="preserve">Shift 1 + Shift 2 (24 jam)</t>
  </si>
  <si>
    <t xml:space="preserve">Disusun oleh</t>
  </si>
  <si>
    <t xml:space="preserve">Equipment Planner</t>
  </si>
  <si>
    <t xml:space="preserve">Diperiksa oleh</t>
  </si>
  <si>
    <t xml:space="preserve">Production Superintendent</t>
  </si>
  <si>
    <t xml:space="preserve">ISI WORKBOOK</t>
  </si>
  <si>
    <t xml:space="preserve">Sheet</t>
  </si>
  <si>
    <t xml:space="preserve">Fungsi</t>
  </si>
  <si>
    <t xml:space="preserve">01_COVER</t>
  </si>
  <si>
    <t xml:space="preserve">Identitas site dan petunjuk pakai</t>
  </si>
  <si>
    <t xml:space="preserve">02_PRODUKSI</t>
  </si>
  <si>
    <t xml:space="preserve">Plan vs actual overburden &amp; batubara per front</t>
  </si>
  <si>
    <t xml:space="preserve">03_TIMESHEET</t>
  </si>
  <si>
    <t xml:space="preserve">Jam kerja, SMH, status, BBM, delay code per unit</t>
  </si>
  <si>
    <t xml:space="preserve">04_KPI</t>
  </si>
  <si>
    <t xml:space="preserve">PA / UA / EU, produktivitas, BBM, Plan vs Actual</t>
  </si>
  <si>
    <t xml:space="preserve">05_BREAKDOWN</t>
  </si>
  <si>
    <t xml:space="preserve">Daftar unit BD / PM / waiting part + tindakan</t>
  </si>
  <si>
    <t xml:space="preserve">06_REKAP</t>
  </si>
  <si>
    <t xml:space="preserve">Satu halaman untuk morning meeting</t>
  </si>
  <si>
    <t xml:space="preserve">KODE DELAY (isi di 03_TIMESHEET kolom Delay)</t>
  </si>
  <si>
    <t xml:space="preserve">Kode</t>
  </si>
  <si>
    <t xml:space="preserve">Arti</t>
  </si>
  <si>
    <t xml:space="preserve">OPR</t>
  </si>
  <si>
    <t xml:space="preserve">Operasi produktif</t>
  </si>
  <si>
    <t xml:space="preserve">STB</t>
  </si>
  <si>
    <t xml:space="preserve">Standby — nunggu front / nunggu material</t>
  </si>
  <si>
    <t xml:space="preserve">QUE</t>
  </si>
  <si>
    <t xml:space="preserve">Antri loading / dumping (overtruck / crowding)</t>
  </si>
  <si>
    <t xml:space="preserve">RN</t>
  </si>
  <si>
    <t xml:space="preserve">Hujan / slippery road</t>
  </si>
  <si>
    <t xml:space="preserve">PM</t>
  </si>
  <si>
    <t xml:space="preserve">Preventive Maintenance terjadwal</t>
  </si>
  <si>
    <t xml:space="preserve">BD</t>
  </si>
  <si>
    <t xml:space="preserve">Breakdown tidak terencana</t>
  </si>
  <si>
    <t xml:space="preserve">WP</t>
  </si>
  <si>
    <t xml:space="preserve">Waiting part</t>
  </si>
  <si>
    <t xml:space="preserve">TRV</t>
  </si>
  <si>
    <t xml:space="preserve">Travel / pindah front</t>
  </si>
  <si>
    <t xml:space="preserve">BLST</t>
  </si>
  <si>
    <t xml:space="preserve">Menunggu blasting</t>
  </si>
  <si>
    <t xml:space="preserve">NOOP</t>
  </si>
  <si>
    <t xml:space="preserve">Tidak ada operator / roster</t>
  </si>
  <si>
    <t xml:space="preserve">DISCLAIMER: Template contoh untuk site batubara terbuka Kalimantan Selatan. Bukan hasil time study site Anda. Ganti semua angka kuning sebelum dipakai laporan resmi ke KTT / Supt. Keputusan operasi tetap merujuk RKAB, SMKP, dan data FMS/timesheet aktual.</t>
  </si>
  <si>
    <t xml:space="preserve">PRODUKSI HARIAN  —  PLAN vs ACTUAL</t>
  </si>
  <si>
    <t xml:space="preserve">No</t>
  </si>
  <si>
    <t xml:space="preserve">Front / Area</t>
  </si>
  <si>
    <t xml:space="preserve">Material</t>
  </si>
  <si>
    <t xml:space="preserve">Plan harian</t>
  </si>
  <si>
    <t xml:space="preserve">Satuan</t>
  </si>
  <si>
    <t xml:space="preserve">Actual</t>
  </si>
  <si>
    <t xml:space="preserve">Pencapaian</t>
  </si>
  <si>
    <t xml:space="preserve">Status</t>
  </si>
  <si>
    <t xml:space="preserve">Jarak angkut (km)</t>
  </si>
  <si>
    <t xml:space="preserve">Keterangan</t>
  </si>
  <si>
    <t xml:space="preserve">Front OB-1</t>
  </si>
  <si>
    <t xml:space="preserve">Overburden</t>
  </si>
  <si>
    <t xml:space="preserve">BCM</t>
  </si>
  <si>
    <t xml:space="preserve">Loading PC1250 + HD785</t>
  </si>
  <si>
    <t xml:space="preserve">Front OB-2</t>
  </si>
  <si>
    <t xml:space="preserve">Loading EX1200 + HD785/SKT90</t>
  </si>
  <si>
    <t xml:space="preserve">Front Coal</t>
  </si>
  <si>
    <t xml:space="preserve">Batubara</t>
  </si>
  <si>
    <t xml:space="preserve">ton</t>
  </si>
  <si>
    <t xml:space="preserve">PC400 + Hino FM</t>
  </si>
  <si>
    <t xml:space="preserve">Disposal Barat</t>
  </si>
  <si>
    <t xml:space="preserve">OB dumping</t>
  </si>
  <si>
    <t xml:space="preserve">Terima dari OB-1</t>
  </si>
  <si>
    <t xml:space="preserve">Disposal Timur</t>
  </si>
  <si>
    <t xml:space="preserve">Terima dari OB-2</t>
  </si>
  <si>
    <t xml:space="preserve">ROM stockpile</t>
  </si>
  <si>
    <t xml:space="preserve">Terima dari Front Coal</t>
  </si>
  <si>
    <t xml:space="preserve">Haul road maint.</t>
  </si>
  <si>
    <t xml:space="preserve">Pendukung</t>
  </si>
  <si>
    <t xml:space="preserve">km</t>
  </si>
  <si>
    <t xml:space="preserve">Dozer + grader + water truck</t>
  </si>
  <si>
    <t xml:space="preserve">REKAP MATERIAL</t>
  </si>
  <si>
    <t xml:space="preserve">Uraian</t>
  </si>
  <si>
    <t xml:space="preserve">Plan</t>
  </si>
  <si>
    <t xml:space="preserve">Sisa ke plan</t>
  </si>
  <si>
    <t xml:space="preserve">Total Overburden (BCM)</t>
  </si>
  <si>
    <t xml:space="preserve">Total Batubara (ton)</t>
  </si>
  <si>
    <t xml:space="preserve">Stripping Ratio harian (BCM/ton)</t>
  </si>
  <si>
    <t xml:space="preserve">CUACA &amp; HAMBATAN OPERASI  (input)</t>
  </si>
  <si>
    <t xml:space="preserve">Cuaca shift 1</t>
  </si>
  <si>
    <t xml:space="preserve">Cerah berawan</t>
  </si>
  <si>
    <t xml:space="preserve">Jam kalender hari ini</t>
  </si>
  <si>
    <t xml:space="preserve">24</t>
  </si>
  <si>
    <t xml:space="preserve">Cuaca shift 2</t>
  </si>
  <si>
    <t xml:space="preserve">Hujan ringan 21.00–23.00</t>
  </si>
  <si>
    <t xml:space="preserve">Jam hujan total</t>
  </si>
  <si>
    <t xml:space="preserve">Jam hujan shift 1</t>
  </si>
  <si>
    <t xml:space="preserve">Jam efektif kalender</t>
  </si>
  <si>
    <t xml:space="preserve">Jam hujan shift 2</t>
  </si>
  <si>
    <t xml:space="preserve">Haul road condition</t>
  </si>
  <si>
    <t xml:space="preserve">Basah, licin di tanjakan disposal</t>
  </si>
  <si>
    <t xml:space="preserve">Catatan operasi</t>
  </si>
  <si>
    <t xml:space="preserve">Antrian 4 unit di Front OB-1 pukul 10–12. Front Coal delay blasting 40 menit.</t>
  </si>
  <si>
    <t xml:space="preserve">TIMESHEET ALAT BERAT HARIAN</t>
  </si>
  <si>
    <t xml:space="preserve">Jenis</t>
  </si>
  <si>
    <t xml:space="preserve">Model</t>
  </si>
  <si>
    <t xml:space="preserve">Kelas</t>
  </si>
  <si>
    <t xml:space="preserve">Front</t>
  </si>
  <si>
    <t xml:space="preserve">SMH awal</t>
  </si>
  <si>
    <t xml:space="preserve">SMH akhir</t>
  </si>
  <si>
    <t xml:space="preserve">Jam kerja</t>
  </si>
  <si>
    <t xml:space="preserve">BBM (liter)</t>
  </si>
  <si>
    <t xml:space="preserve">Delay</t>
  </si>
  <si>
    <t xml:space="preserve">Jam delay</t>
  </si>
  <si>
    <t xml:space="preserve">EX-01</t>
  </si>
  <si>
    <t xml:space="preserve">Excavator</t>
  </si>
  <si>
    <t xml:space="preserve">Komatsu PC400LC-8</t>
  </si>
  <si>
    <t xml:space="preserve">40 t</t>
  </si>
  <si>
    <t xml:space="preserve">OPERASI</t>
  </si>
  <si>
    <t xml:space="preserve">Coal getting</t>
  </si>
  <si>
    <t xml:space="preserve">EX-02</t>
  </si>
  <si>
    <t xml:space="preserve">Tunggu blasting 40 mnt</t>
  </si>
  <si>
    <t xml:space="preserve">EX-03</t>
  </si>
  <si>
    <t xml:space="preserve">Sany SY750H</t>
  </si>
  <si>
    <t xml:space="preserve">75 t</t>
  </si>
  <si>
    <t xml:space="preserve">Antri truk siang</t>
  </si>
  <si>
    <t xml:space="preserve">EX-04</t>
  </si>
  <si>
    <t xml:space="preserve">Komatsu PC800-8</t>
  </si>
  <si>
    <t xml:space="preserve">80 t</t>
  </si>
  <si>
    <t xml:space="preserve">Workshop</t>
  </si>
  <si>
    <t xml:space="preserve">PM 500 jam</t>
  </si>
  <si>
    <t xml:space="preserve">EX-05</t>
  </si>
  <si>
    <t xml:space="preserve">Hitachi EX1200-7</t>
  </si>
  <si>
    <t xml:space="preserve">120 t</t>
  </si>
  <si>
    <t xml:space="preserve">Loading OB</t>
  </si>
  <si>
    <t xml:space="preserve">EX-06</t>
  </si>
  <si>
    <t xml:space="preserve">Komatsu PC1250-11</t>
  </si>
  <si>
    <t xml:space="preserve">BREAKDOWN</t>
  </si>
  <si>
    <t xml:space="preserve">Final drive kanan</t>
  </si>
  <si>
    <t xml:space="preserve">DT-01</t>
  </si>
  <si>
    <t xml:space="preserve">Dump Truck</t>
  </si>
  <si>
    <t xml:space="preserve">Komatsu HD785-7</t>
  </si>
  <si>
    <t xml:space="preserve">100 t</t>
  </si>
  <si>
    <t xml:space="preserve">Haul OB-1</t>
  </si>
  <si>
    <t xml:space="preserve">DT-02</t>
  </si>
  <si>
    <t xml:space="preserve">DT-03</t>
  </si>
  <si>
    <t xml:space="preserve">Haul OB-2</t>
  </si>
  <si>
    <t xml:space="preserve">DT-04</t>
  </si>
  <si>
    <t xml:space="preserve">Hujan malam</t>
  </si>
  <si>
    <t xml:space="preserve">DT-05</t>
  </si>
  <si>
    <t xml:space="preserve">Parkir</t>
  </si>
  <si>
    <t xml:space="preserve">STANDBY</t>
  </si>
  <si>
    <t xml:space="preserve">Ban aus — tunggu OTR</t>
  </si>
  <si>
    <t xml:space="preserve">DT-06</t>
  </si>
  <si>
    <t xml:space="preserve">Sany SKT90S</t>
  </si>
  <si>
    <t xml:space="preserve">90 t</t>
  </si>
  <si>
    <t xml:space="preserve">DT-07</t>
  </si>
  <si>
    <t xml:space="preserve">DT-08</t>
  </si>
  <si>
    <t xml:space="preserve">Hino FM 260 TI</t>
  </si>
  <si>
    <t xml:space="preserve">20 t</t>
  </si>
  <si>
    <t xml:space="preserve">Haul coal</t>
  </si>
  <si>
    <t xml:space="preserve">DT-09</t>
  </si>
  <si>
    <t xml:space="preserve">Tunggu blasting</t>
  </si>
  <si>
    <t xml:space="preserve">DT-10</t>
  </si>
  <si>
    <t xml:space="preserve">WAITING PART</t>
  </si>
  <si>
    <t xml:space="preserve">Injector</t>
  </si>
  <si>
    <t xml:space="preserve">DZ-01</t>
  </si>
  <si>
    <t xml:space="preserve">Dozer</t>
  </si>
  <si>
    <t xml:space="preserve">Komatsu D155A-6</t>
  </si>
  <si>
    <t xml:space="preserve">Disposal</t>
  </si>
  <si>
    <t xml:space="preserve">Spreading disposal</t>
  </si>
  <si>
    <t xml:space="preserve">DZ-02</t>
  </si>
  <si>
    <t xml:space="preserve">Komatsu D85ESS-2</t>
  </si>
  <si>
    <t xml:space="preserve">24 t</t>
  </si>
  <si>
    <t xml:space="preserve">Haul road</t>
  </si>
  <si>
    <t xml:space="preserve">Perbaikan jalan basah</t>
  </si>
  <si>
    <t xml:space="preserve">GR-01</t>
  </si>
  <si>
    <t xml:space="preserve">Grader</t>
  </si>
  <si>
    <t xml:space="preserve">Komatsu GD825A-2</t>
  </si>
  <si>
    <t xml:space="preserve">Grading</t>
  </si>
  <si>
    <t xml:space="preserve">WT-01</t>
  </si>
  <si>
    <t xml:space="preserve">Water Truck</t>
  </si>
  <si>
    <t xml:space="preserve">Hino 500 tangki 16 kL</t>
  </si>
  <si>
    <t xml:space="preserve">16 kL</t>
  </si>
  <si>
    <t xml:space="preserve">Dust suppress siang</t>
  </si>
  <si>
    <t xml:space="preserve">WL-01</t>
  </si>
  <si>
    <t xml:space="preserve">Wheel Loader</t>
  </si>
  <si>
    <t xml:space="preserve">Kawasaki 90ZV</t>
  </si>
  <si>
    <t xml:space="preserve">7 m3</t>
  </si>
  <si>
    <t xml:space="preserve">Tidak ada loading barge</t>
  </si>
  <si>
    <t xml:space="preserve">TOTAL / REKAP TIMESHEET</t>
  </si>
  <si>
    <t xml:space="preserve">Unit OPERASI</t>
  </si>
  <si>
    <t xml:space="preserve">Unit BD + WP</t>
  </si>
  <si>
    <t xml:space="preserve">Unit PM</t>
  </si>
  <si>
    <t xml:space="preserve">Unit STANDBY</t>
  </si>
  <si>
    <t xml:space="preserve">Total unit</t>
  </si>
  <si>
    <t xml:space="preserve">Jam kerja rata-rata unit OPERASI (jam)</t>
  </si>
  <si>
    <t xml:space="preserve">BBM total hari ini (liter)</t>
  </si>
  <si>
    <t xml:space="preserve">KPI HARIAN  —  AVAILABILITY, UTILISASI, PRODUKTIVITAS, BBM</t>
  </si>
  <si>
    <t xml:space="preserve">PARAMETER WAKTU</t>
  </si>
  <si>
    <t xml:space="preserve">HASIL KPI HARI INI</t>
  </si>
  <si>
    <t xml:space="preserve">Jam kalender (T)</t>
  </si>
  <si>
    <t xml:space="preserve">jam</t>
  </si>
  <si>
    <t xml:space="preserve">PA  Physical Availability</t>
  </si>
  <si>
    <t xml:space="preserve">Jam hujan</t>
  </si>
  <si>
    <t xml:space="preserve">MA  Mechanical Availability</t>
  </si>
  <si>
    <t xml:space="preserve">Target PA</t>
  </si>
  <si>
    <t xml:space="preserve">Physical Availability</t>
  </si>
  <si>
    <t xml:space="preserve">UA  Use of Availability</t>
  </si>
  <si>
    <t xml:space="preserve">Target UA</t>
  </si>
  <si>
    <t xml:space="preserve">Use of Availability</t>
  </si>
  <si>
    <t xml:space="preserve">EU  Effective Utilization</t>
  </si>
  <si>
    <t xml:space="preserve">W / T_obs</t>
  </si>
  <si>
    <t xml:space="preserve">BUCKET WAKTU DARI TIMESHEET</t>
  </si>
  <si>
    <t xml:space="preserve">PRODUKSI vs PLAN</t>
  </si>
  <si>
    <t xml:space="preserve">W  Working hours (jam kerja unit OPERASI)</t>
  </si>
  <si>
    <t xml:space="preserve">OB actual / plan</t>
  </si>
  <si>
    <t xml:space="preserve">R  Repair hours (BD + WP, pakai jam delay)</t>
  </si>
  <si>
    <t xml:space="preserve">Coal actual / plan</t>
  </si>
  <si>
    <t xml:space="preserve">S  Standby hours (STB + QUE + RN + NOOP + BLST + TRV)</t>
  </si>
  <si>
    <t xml:space="preserve">SR actual (BCM/ton)</t>
  </si>
  <si>
    <t xml:space="preserve">plan</t>
  </si>
  <si>
    <t xml:space="preserve">PM hours</t>
  </si>
  <si>
    <t xml:space="preserve">T_obs  W + R + S + PM (jam-unit teramati)</t>
  </si>
  <si>
    <t xml:space="preserve">BBM &amp; INTENSITAS</t>
  </si>
  <si>
    <t xml:space="preserve">BBM total (liter)</t>
  </si>
  <si>
    <t xml:space="preserve">RUMUS YANG DIPAKAI</t>
  </si>
  <si>
    <t xml:space="preserve">BBM / BCM OB (L/BCM)</t>
  </si>
  <si>
    <t xml:space="preserve">PA = (W + S + PM) / (W + R + S + PM)
MA = W / (W + R)
UA = W / (W + S)
EU = W / (W + R + S + PM)
W = jam kerja unit berstatus OPERASI (SMH akhir − SMH awal).</t>
  </si>
  <si>
    <t xml:space="preserve">BBM / jam kerja OPERASI (L/jam)</t>
  </si>
  <si>
    <t xml:space="preserve">BREAKDOWN / PM / WAITING PART  —  TINDAKAN PLANNER</t>
  </si>
  <si>
    <t xml:space="preserve">Isi hanya unit yang tidak OPERASI. Kolom Status terhubung ke timesheet — tetap update manual agar ada konteks perbaikan.</t>
  </si>
  <si>
    <t xml:space="preserve">Komponen / gejala</t>
  </si>
  <si>
    <t xml:space="preserve">Mulai (jam)</t>
  </si>
  <si>
    <t xml:space="preserve">Durasi (jam)</t>
  </si>
  <si>
    <t xml:space="preserve">Part yang ditunggu</t>
  </si>
  <si>
    <t xml:space="preserve">ETA perbaikan</t>
  </si>
  <si>
    <t xml:space="preserve">Tindakan planner</t>
  </si>
  <si>
    <t xml:space="preserve">Final drive kanan bocor / noise</t>
  </si>
  <si>
    <t xml:space="preserve">Final drive PC1250</t>
  </si>
  <si>
    <t xml:space="preserve">11 Sep 2026</t>
  </si>
  <si>
    <t xml:space="preserve">Tarik unit ke workshop; pinjam EX rental jika gap OB &gt; 10%</t>
  </si>
  <si>
    <t xml:space="preserve">Ban OTR aus dalam (posisi 3)</t>
  </si>
  <si>
    <t xml:space="preserve">Ban 27.00R49</t>
  </si>
  <si>
    <t xml:space="preserve">10 Sep 2026</t>
  </si>
  <si>
    <t xml:space="preserve">Cek stok OTR; jika kosong ajukan emergency PO</t>
  </si>
  <si>
    <t xml:space="preserve">Injector no. 3 mati</t>
  </si>
  <si>
    <t xml:space="preserve">Injector Hino FM</t>
  </si>
  <si>
    <t xml:space="preserve">09 Sep 2026</t>
  </si>
  <si>
    <t xml:space="preserve">Kejar part ke vendor Banjarmasin</t>
  </si>
  <si>
    <t xml:space="preserve">PM-B 500 SMH</t>
  </si>
  <si>
    <t xml:space="preserve">Filter + oli engine</t>
  </si>
  <si>
    <t xml:space="preserve">09 Sep 06.00</t>
  </si>
  <si>
    <t xml:space="preserve">Pastikan unit kembali sebelum shift 1</t>
  </si>
  <si>
    <t xml:space="preserve">-</t>
  </si>
  <si>
    <t xml:space="preserve">Siaga ROM; jangan dihitung sebagai BD</t>
  </si>
  <si>
    <t xml:space="preserve">Unit tidak operasi (dari timesheet)</t>
  </si>
  <si>
    <t xml:space="preserve">unit</t>
  </si>
  <si>
    <t xml:space="preserve">PRIORITAS PLANNER BESOK</t>
  </si>
  <si>
    <t xml:space="preserve">1) Kejar final drive EX-06 — ini unit 120 t, paling berpengaruh ke target OB.
2) Ban OTR DT-05: tanpa 1 HD785, Match Factor Front OB-1 rawan turun.
3) EX-04 harus selesai PM sebelum shift 1.  4) Time study ulang cycle time OB-1 karena antrian 1,5 jam.</t>
  </si>
  <si>
    <t xml:space="preserve">REKAP PAGI  —  MORNING MEETING</t>
  </si>
  <si>
    <t xml:space="preserve">KPI UTAMA</t>
  </si>
  <si>
    <t xml:space="preserve">STATUS FLEET</t>
  </si>
  <si>
    <t xml:space="preserve">Indikator</t>
  </si>
  <si>
    <t xml:space="preserve">Nilai</t>
  </si>
  <si>
    <t xml:space="preserve">Jumlah</t>
  </si>
  <si>
    <t xml:space="preserve">% dari total</t>
  </si>
  <si>
    <t xml:space="preserve">Overburden actual</t>
  </si>
  <si>
    <t xml:space="preserve">Batubara actual</t>
  </si>
  <si>
    <t xml:space="preserve">Physical Availability (PA)</t>
  </si>
  <si>
    <t xml:space="preserve">Use of Availability (UA)</t>
  </si>
  <si>
    <t xml:space="preserve">BD + Waiting part</t>
  </si>
  <si>
    <t xml:space="preserve">Mechanical Availability (MA)</t>
  </si>
  <si>
    <t xml:space="preserve">100%</t>
  </si>
  <si>
    <t xml:space="preserve">SR actual</t>
  </si>
  <si>
    <t xml:space="preserve">BBM total</t>
  </si>
  <si>
    <t xml:space="preserve">UNIT KRITIS BESOK</t>
  </si>
  <si>
    <t xml:space="preserve">CUACA</t>
  </si>
  <si>
    <t xml:space="preserve">Shift 1</t>
  </si>
  <si>
    <t xml:space="preserve">Shift 2</t>
  </si>
  <si>
    <t xml:space="preserve">Paraf Production Supt. ________________    Plant Supt. ________________    Planner ________________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</si>
</sst>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dd\-mmm\-yyyy"/>
    <numFmt numFmtId="166" formatCode="#,##0"/>
    <numFmt numFmtId="167" formatCode="0.0%"/>
    <numFmt numFmtId="168" formatCode="0.0"/>
    <numFmt numFmtId="169" formatCode="#,##0;\(#,##0\);\-"/>
    <numFmt numFmtId="170" formatCode="0.00"/>
    <numFmt numFmtId="171" formatCode="0"/>
    <numFmt numFmtId="172" formatCode="#,##0.0"/>
    <numFmt numFmtId="173" formatCode="General"/>
  </numFmts>
  <fonts count="3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0B2E4A"/>
      <name val="Calibri"/>
      <family val="0"/>
      <charset val="1"/>
    </font>
    <font>
      <i val="true"/>
      <sz val="11"/>
      <color rgb="FFC45C12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0B2E4A"/>
      <name val="Calibri"/>
      <family val="0"/>
      <charset val="1"/>
    </font>
    <font>
      <sz val="10"/>
      <color rgb="FF0000FF"/>
      <name val="Calibri"/>
      <family val="0"/>
      <charset val="1"/>
    </font>
    <font>
      <sz val="9"/>
      <color rgb="FF1A1A1A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sz val="10"/>
      <color rgb="FF1A1A1A"/>
      <name val="Calibri"/>
      <family val="0"/>
      <charset val="1"/>
    </font>
    <font>
      <i val="true"/>
      <sz val="8"/>
      <color rgb="FF4A4A4A"/>
      <name val="Calibri"/>
      <family val="0"/>
      <charset val="1"/>
    </font>
    <font>
      <b val="true"/>
      <sz val="16"/>
      <color rgb="FF0B2E4A"/>
      <name val="Calibri"/>
      <family val="0"/>
      <charset val="1"/>
    </font>
    <font>
      <sz val="10"/>
      <color rgb="FF0E6B6B"/>
      <name val="Calibri"/>
      <family val="0"/>
      <charset val="1"/>
    </font>
    <font>
      <b val="true"/>
      <sz val="10"/>
      <color rgb="FF1A1A1A"/>
      <name val="Calibri"/>
      <family val="0"/>
      <charset val="1"/>
    </font>
    <font>
      <b val="true"/>
      <sz val="9"/>
      <color rgb="FF0B2E4A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1"/>
      <color rgb="FFC45C12"/>
      <name val="Calibri"/>
      <family val="0"/>
      <charset val="1"/>
    </font>
    <font>
      <b val="true"/>
      <sz val="11"/>
      <color rgb="FF0B2E4A"/>
      <name val="Calibri"/>
      <family val="0"/>
      <charset val="1"/>
    </font>
    <font>
      <sz val="10"/>
      <color rgb="FF1F7A4D"/>
      <name val="Calibri"/>
      <family val="0"/>
      <charset val="1"/>
    </font>
    <font>
      <sz val="8"/>
      <color rgb="FF6A6A6A"/>
      <name val="Calibri"/>
      <family val="0"/>
      <charset val="1"/>
    </font>
    <font>
      <b val="true"/>
      <sz val="12"/>
      <color rgb="FF0B2E4A"/>
      <name val="Calibri"/>
      <family val="0"/>
      <charset val="1"/>
    </font>
    <font>
      <b val="true"/>
      <sz val="9"/>
      <color rgb="FFC45C12"/>
      <name val="Calibri"/>
      <family val="0"/>
      <charset val="1"/>
    </font>
    <font>
      <sz val="10"/>
      <color rgb="FF0E6B6A"/>
      <name val="Calibri"/>
      <family val="0"/>
      <charset val="1"/>
    </font>
    <font>
      <b val="true"/>
      <sz val="14"/>
      <color rgb="FFC45C12"/>
      <name val="Calibri"/>
      <family val="0"/>
      <charset val="1"/>
    </font>
    <font>
      <sz val="9"/>
      <color rgb="FF6A6A6A"/>
      <name val="Calibri"/>
      <family val="0"/>
      <charset val="1"/>
    </font>
    <font>
      <b val="true"/>
      <sz val="18"/>
      <color rgb="FF0B2E4A"/>
      <name val="Calibri"/>
      <family val="0"/>
      <charset val="1"/>
    </font>
    <font>
      <sz val="11"/>
      <color rgb="FFC45C12"/>
      <name val="Calibri"/>
      <family val="0"/>
      <charset val="1"/>
    </font>
    <font>
      <sz val="9"/>
      <color rgb="FF0B2E4A"/>
      <name val="Calibri"/>
      <family val="0"/>
      <charset val="1"/>
    </font>
    <font>
      <sz val="9"/>
      <color rgb="FF1F7A4D"/>
      <name val="Calibri"/>
      <family val="0"/>
      <charset val="1"/>
    </font>
    <font>
      <sz val="9"/>
      <color rgb="FF4A4A4A"/>
      <name val="Calibri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0B2E4A"/>
        <bgColor rgb="FF1A1A1A"/>
      </patternFill>
    </fill>
    <fill>
      <patternFill patternType="solid">
        <fgColor rgb="FFC45C12"/>
        <bgColor rgb="FFB42318"/>
      </patternFill>
    </fill>
    <fill>
      <patternFill patternType="solid">
        <fgColor rgb="FFFFF3BF"/>
        <bgColor rgb="FFFDE7C7"/>
      </patternFill>
    </fill>
    <fill>
      <patternFill patternType="solid">
        <fgColor rgb="FFFFF6EB"/>
        <bgColor rgb="FFFFFFFF"/>
      </patternFill>
    </fill>
    <fill>
      <patternFill patternType="solid">
        <fgColor rgb="FFEEF3F7"/>
        <bgColor rgb="FFE8F0F7"/>
      </patternFill>
    </fill>
    <fill>
      <patternFill patternType="solid">
        <fgColor rgb="FF0E6B6B"/>
        <bgColor rgb="FF0E6B6A"/>
      </patternFill>
    </fill>
    <fill>
      <patternFill patternType="solid">
        <fgColor rgb="FFE8F0F7"/>
        <bgColor rgb="FFE8EEF4"/>
      </patternFill>
    </fill>
    <fill>
      <patternFill patternType="solid">
        <fgColor rgb="FFB42318"/>
        <bgColor rgb="FF993366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C5CDD6"/>
      </left>
      <right/>
      <top style="thin">
        <color rgb="FFC5CDD6"/>
      </top>
      <bottom style="thin">
        <color rgb="FFC5CDD6"/>
      </bottom>
      <diagonal/>
    </border>
    <border diagonalUp="false" diagonalDown="false">
      <left style="thin">
        <color rgb="FFC5CDD6"/>
      </left>
      <right style="thin">
        <color rgb="FFC5CDD6"/>
      </right>
      <top style="thin">
        <color rgb="FFC5CDD6"/>
      </top>
      <bottom style="thin">
        <color rgb="FFC5CDD6"/>
      </bottom>
      <diagonal/>
    </border>
    <border diagonalUp="false" diagonalDown="false">
      <left style="thin">
        <color rgb="FFC5CDD6"/>
      </left>
      <right/>
      <top style="thin">
        <color rgb="FFC5CDD6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1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0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7" fontId="22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0" fontId="2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2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2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9">
    <dxf>
      <fill>
        <patternFill patternType="solid">
          <fgColor rgb="FF0B2E4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A1A1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3B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D8F0E0"/>
          <bgColor rgb="FF000000"/>
        </patternFill>
      </fill>
    </dxf>
    <dxf>
      <fill>
        <patternFill patternType="solid">
          <fgColor rgb="FFE8EEF4"/>
          <bgColor rgb="FF000000"/>
        </patternFill>
      </fill>
    </dxf>
    <dxf>
      <fill>
        <patternFill patternType="solid">
          <fgColor rgb="FFF8D0CC"/>
          <bgColor rgb="FF000000"/>
        </patternFill>
      </fill>
    </dxf>
    <dxf>
      <fill>
        <patternFill patternType="solid">
          <fgColor rgb="FFFDE7C7"/>
          <bgColor rgb="FF000000"/>
        </patternFill>
      </fill>
    </dxf>
    <dxf>
      <fill>
        <patternFill patternType="solid">
          <fgColor rgb="FF1F7A4D"/>
          <bgColor rgb="FF000000"/>
        </patternFill>
      </fill>
    </dxf>
    <dxf>
      <fill>
        <patternFill patternType="solid">
          <fgColor rgb="FF4A4A4A"/>
          <bgColor rgb="FF000000"/>
        </patternFill>
      </fill>
    </dxf>
    <dxf>
      <fill>
        <patternFill patternType="solid">
          <fgColor rgb="FFB42318"/>
          <bgColor rgb="FF000000"/>
        </patternFill>
      </fill>
    </dxf>
    <dxf>
      <fill>
        <patternFill patternType="solid">
          <fgColor rgb="FFC45C12"/>
          <bgColor rgb="FF000000"/>
        </patternFill>
      </fill>
    </dxf>
    <dxf>
      <font>
        <name val="Calibri"/>
        <charset val="1"/>
        <family val="0"/>
        <b val="1"/>
        <color rgb="FFB42318"/>
        <sz val="9"/>
      </font>
      <fill>
        <patternFill>
          <bgColor rgb="FFF8D0CC"/>
        </patternFill>
      </fill>
    </dxf>
    <dxf>
      <font>
        <name val="Calibri"/>
        <charset val="1"/>
        <family val="0"/>
        <b val="1"/>
        <color rgb="FFC45C12"/>
        <sz val="9"/>
      </font>
      <fill>
        <patternFill>
          <bgColor rgb="FFFDE7C7"/>
        </patternFill>
      </fill>
    </dxf>
    <dxf>
      <font>
        <name val="Calibri"/>
        <charset val="1"/>
        <family val="0"/>
        <b val="1"/>
        <color rgb="FF1F7A4D"/>
        <sz val="9"/>
      </font>
      <fill>
        <patternFill>
          <bgColor rgb="FFD8F0E0"/>
        </patternFill>
      </fill>
    </dxf>
    <dxf>
      <font>
        <name val="Calibri"/>
        <charset val="1"/>
        <family val="0"/>
        <color rgb="FF4A4A4A"/>
        <sz val="9"/>
      </font>
      <fill>
        <patternFill>
          <bgColor rgb="FFE8EEF4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6B6B"/>
      <rgbColor rgb="FFC5CDD6"/>
      <rgbColor rgb="FF808080"/>
      <rgbColor rgb="FF9999FF"/>
      <rgbColor rgb="FF993366"/>
      <rgbColor rgb="FFFFF3BF"/>
      <rgbColor rgb="FFE8F0F7"/>
      <rgbColor rgb="FF660066"/>
      <rgbColor rgb="FFFF8080"/>
      <rgbColor rgb="FF0066CC"/>
      <rgbColor rgb="FFEEF3F7"/>
      <rgbColor rgb="FF000080"/>
      <rgbColor rgb="FFFF00FF"/>
      <rgbColor rgb="FFFFFF00"/>
      <rgbColor rgb="FF00FFFF"/>
      <rgbColor rgb="FF800080"/>
      <rgbColor rgb="FF800000"/>
      <rgbColor rgb="FF0E6B6A"/>
      <rgbColor rgb="FF0000FF"/>
      <rgbColor rgb="FF00CCFF"/>
      <rgbColor rgb="FFE8EEF4"/>
      <rgbColor rgb="FFD8F0E0"/>
      <rgbColor rgb="FFFDE7C7"/>
      <rgbColor rgb="FFFFF6EB"/>
      <rgbColor rgb="FFFF99CC"/>
      <rgbColor rgb="FFCC99FF"/>
      <rgbColor rgb="FFF8D0CC"/>
      <rgbColor rgb="FF3366FF"/>
      <rgbColor rgb="FF33CCCC"/>
      <rgbColor rgb="FF99CC00"/>
      <rgbColor rgb="FFFFCC00"/>
      <rgbColor rgb="FFFF9900"/>
      <rgbColor rgb="FFC45C12"/>
      <rgbColor rgb="FF6A6A6A"/>
      <rgbColor rgb="FF969696"/>
      <rgbColor rgb="FF0B2E4A"/>
      <rgbColor rgb="FF1F7A4D"/>
      <rgbColor rgb="FF003300"/>
      <rgbColor rgb="FF1A1A1A"/>
      <rgbColor rgb="FFB42318"/>
      <rgbColor rgb="FF993366"/>
      <rgbColor rgb="FF333399"/>
      <rgbColor rgb="FF4A4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H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18"/>
    <col collapsed="false" customWidth="true" hidden="false" outlineLevel="0" max="8" min="8" style="0" width="28"/>
  </cols>
  <sheetData>
    <row r="2" customFormat="false" ht="27.75" hidden="false" customHeight="true" outlineLevel="0" collapsed="false">
      <c r="B2" s="1" t="s">
        <v>0</v>
      </c>
      <c r="C2" s="1"/>
      <c r="D2" s="1"/>
      <c r="E2" s="1"/>
      <c r="F2" s="1"/>
      <c r="G2" s="1"/>
      <c r="H2" s="1"/>
    </row>
    <row r="3" customFormat="false" ht="18" hidden="false" customHeight="true" outlineLevel="0" collapsed="false">
      <c r="B3" s="2" t="s">
        <v>1</v>
      </c>
      <c r="C3" s="2"/>
      <c r="D3" s="2"/>
      <c r="E3" s="2"/>
      <c r="F3" s="2"/>
      <c r="G3" s="2"/>
      <c r="H3" s="2"/>
    </row>
    <row r="5" customFormat="false" ht="15" hidden="false" customHeight="true" outlineLevel="0" collapsed="false">
      <c r="B5" s="3" t="s">
        <v>2</v>
      </c>
      <c r="C5" s="3"/>
      <c r="D5" s="3"/>
      <c r="E5" s="3"/>
      <c r="G5" s="4" t="s">
        <v>3</v>
      </c>
      <c r="H5" s="4"/>
    </row>
    <row r="6" customFormat="false" ht="18" hidden="false" customHeight="true" outlineLevel="0" collapsed="false">
      <c r="B6" s="5" t="s">
        <v>4</v>
      </c>
      <c r="C6" s="6" t="s">
        <v>5</v>
      </c>
      <c r="D6" s="6"/>
      <c r="E6" s="6"/>
      <c r="G6" s="7" t="s">
        <v>6</v>
      </c>
      <c r="H6" s="7"/>
    </row>
    <row r="7" customFormat="false" ht="15" hidden="false" customHeight="true" outlineLevel="0" collapsed="false">
      <c r="B7" s="5" t="s">
        <v>7</v>
      </c>
      <c r="C7" s="6" t="s">
        <v>8</v>
      </c>
      <c r="D7" s="6"/>
      <c r="E7" s="6"/>
      <c r="G7" s="7"/>
      <c r="H7" s="7"/>
    </row>
    <row r="8" customFormat="false" ht="15" hidden="false" customHeight="true" outlineLevel="0" collapsed="false">
      <c r="B8" s="5" t="s">
        <v>9</v>
      </c>
      <c r="C8" s="6" t="s">
        <v>10</v>
      </c>
      <c r="D8" s="6"/>
      <c r="E8" s="6"/>
      <c r="G8" s="7"/>
      <c r="H8" s="7"/>
    </row>
    <row r="9" customFormat="false" ht="15" hidden="false" customHeight="false" outlineLevel="0" collapsed="false">
      <c r="B9" s="5" t="s">
        <v>11</v>
      </c>
      <c r="C9" s="8" t="n">
        <v>46273</v>
      </c>
      <c r="D9" s="8"/>
      <c r="E9" s="8"/>
      <c r="G9" s="7"/>
      <c r="H9" s="7"/>
    </row>
    <row r="10" customFormat="false" ht="15" hidden="false" customHeight="true" outlineLevel="0" collapsed="false">
      <c r="B10" s="5" t="s">
        <v>12</v>
      </c>
      <c r="C10" s="6" t="s">
        <v>13</v>
      </c>
      <c r="D10" s="6"/>
      <c r="E10" s="6"/>
      <c r="G10" s="7"/>
      <c r="H10" s="7"/>
    </row>
    <row r="11" customFormat="false" ht="15" hidden="false" customHeight="true" outlineLevel="0" collapsed="false">
      <c r="B11" s="5" t="s">
        <v>14</v>
      </c>
      <c r="C11" s="6" t="s">
        <v>15</v>
      </c>
      <c r="D11" s="6"/>
      <c r="E11" s="6"/>
      <c r="G11" s="7"/>
      <c r="H11" s="7"/>
    </row>
    <row r="12" customFormat="false" ht="15" hidden="false" customHeight="true" outlineLevel="0" collapsed="false">
      <c r="B12" s="5" t="s">
        <v>16</v>
      </c>
      <c r="C12" s="6" t="s">
        <v>17</v>
      </c>
      <c r="D12" s="6"/>
      <c r="E12" s="6"/>
      <c r="G12" s="7"/>
      <c r="H12" s="7"/>
    </row>
    <row r="13" customFormat="false" ht="15" hidden="false" customHeight="false" outlineLevel="0" collapsed="false">
      <c r="G13" s="7"/>
      <c r="H13" s="7"/>
    </row>
    <row r="15" customFormat="false" ht="15" hidden="false" customHeight="false" outlineLevel="0" collapsed="false">
      <c r="B15" s="9" t="s">
        <v>18</v>
      </c>
      <c r="C15" s="9"/>
      <c r="D15" s="9"/>
      <c r="E15" s="9"/>
    </row>
    <row r="16" customFormat="false" ht="15" hidden="false" customHeight="true" outlineLevel="0" collapsed="false">
      <c r="B16" s="10" t="s">
        <v>19</v>
      </c>
      <c r="C16" s="10" t="s">
        <v>20</v>
      </c>
      <c r="D16" s="10"/>
      <c r="E16" s="10"/>
    </row>
    <row r="17" customFormat="false" ht="15" hidden="false" customHeight="true" outlineLevel="0" collapsed="false">
      <c r="B17" s="11" t="s">
        <v>21</v>
      </c>
      <c r="C17" s="12" t="s">
        <v>22</v>
      </c>
      <c r="D17" s="12"/>
      <c r="E17" s="12"/>
    </row>
    <row r="18" customFormat="false" ht="15" hidden="false" customHeight="true" outlineLevel="0" collapsed="false">
      <c r="B18" s="13" t="s">
        <v>23</v>
      </c>
      <c r="C18" s="14" t="s">
        <v>24</v>
      </c>
      <c r="D18" s="14"/>
      <c r="E18" s="14"/>
    </row>
    <row r="19" customFormat="false" ht="15" hidden="false" customHeight="true" outlineLevel="0" collapsed="false">
      <c r="B19" s="11" t="s">
        <v>25</v>
      </c>
      <c r="C19" s="12" t="s">
        <v>26</v>
      </c>
      <c r="D19" s="12"/>
      <c r="E19" s="12"/>
    </row>
    <row r="20" customFormat="false" ht="15" hidden="false" customHeight="true" outlineLevel="0" collapsed="false">
      <c r="B20" s="13" t="s">
        <v>27</v>
      </c>
      <c r="C20" s="14" t="s">
        <v>28</v>
      </c>
      <c r="D20" s="14"/>
      <c r="E20" s="14"/>
    </row>
    <row r="21" customFormat="false" ht="15" hidden="false" customHeight="true" outlineLevel="0" collapsed="false">
      <c r="B21" s="11" t="s">
        <v>29</v>
      </c>
      <c r="C21" s="12" t="s">
        <v>30</v>
      </c>
      <c r="D21" s="12"/>
      <c r="E21" s="12"/>
    </row>
    <row r="22" customFormat="false" ht="15" hidden="false" customHeight="true" outlineLevel="0" collapsed="false">
      <c r="B22" s="13" t="s">
        <v>31</v>
      </c>
      <c r="C22" s="14" t="s">
        <v>32</v>
      </c>
      <c r="D22" s="14"/>
      <c r="E22" s="14"/>
    </row>
    <row r="24" customFormat="false" ht="15" hidden="false" customHeight="false" outlineLevel="0" collapsed="false">
      <c r="B24" s="15" t="s">
        <v>33</v>
      </c>
      <c r="C24" s="15"/>
      <c r="D24" s="15"/>
      <c r="E24" s="15"/>
      <c r="F24" s="15"/>
      <c r="G24" s="15"/>
      <c r="H24" s="15"/>
    </row>
    <row r="25" customFormat="false" ht="15" hidden="false" customHeight="true" outlineLevel="0" collapsed="false">
      <c r="B25" s="10" t="s">
        <v>34</v>
      </c>
      <c r="C25" s="10" t="s">
        <v>35</v>
      </c>
      <c r="D25" s="10"/>
      <c r="E25" s="10"/>
    </row>
    <row r="26" customFormat="false" ht="15" hidden="false" customHeight="false" outlineLevel="0" collapsed="false">
      <c r="B26" s="16" t="s">
        <v>36</v>
      </c>
      <c r="C26" s="17" t="s">
        <v>37</v>
      </c>
      <c r="D26" s="17"/>
      <c r="E26" s="17"/>
    </row>
    <row r="27" customFormat="false" ht="15" hidden="false" customHeight="false" outlineLevel="0" collapsed="false">
      <c r="B27" s="18" t="s">
        <v>38</v>
      </c>
      <c r="C27" s="19" t="s">
        <v>39</v>
      </c>
      <c r="D27" s="19"/>
      <c r="E27" s="19"/>
    </row>
    <row r="28" customFormat="false" ht="15" hidden="false" customHeight="false" outlineLevel="0" collapsed="false">
      <c r="B28" s="16" t="s">
        <v>40</v>
      </c>
      <c r="C28" s="17" t="s">
        <v>41</v>
      </c>
      <c r="D28" s="17"/>
      <c r="E28" s="17"/>
    </row>
    <row r="29" customFormat="false" ht="15" hidden="false" customHeight="false" outlineLevel="0" collapsed="false">
      <c r="B29" s="18" t="s">
        <v>42</v>
      </c>
      <c r="C29" s="19" t="s">
        <v>43</v>
      </c>
      <c r="D29" s="19"/>
      <c r="E29" s="19"/>
    </row>
    <row r="30" customFormat="false" ht="15" hidden="false" customHeight="false" outlineLevel="0" collapsed="false">
      <c r="B30" s="16" t="s">
        <v>44</v>
      </c>
      <c r="C30" s="17" t="s">
        <v>45</v>
      </c>
      <c r="D30" s="17"/>
      <c r="E30" s="17"/>
    </row>
    <row r="31" customFormat="false" ht="15" hidden="false" customHeight="false" outlineLevel="0" collapsed="false">
      <c r="B31" s="18" t="s">
        <v>46</v>
      </c>
      <c r="C31" s="19" t="s">
        <v>47</v>
      </c>
      <c r="D31" s="19"/>
      <c r="E31" s="19"/>
    </row>
    <row r="32" customFormat="false" ht="15" hidden="false" customHeight="false" outlineLevel="0" collapsed="false">
      <c r="B32" s="16" t="s">
        <v>48</v>
      </c>
      <c r="C32" s="17" t="s">
        <v>49</v>
      </c>
      <c r="D32" s="17"/>
      <c r="E32" s="17"/>
    </row>
    <row r="33" customFormat="false" ht="15" hidden="false" customHeight="false" outlineLevel="0" collapsed="false">
      <c r="B33" s="18" t="s">
        <v>50</v>
      </c>
      <c r="C33" s="19" t="s">
        <v>51</v>
      </c>
      <c r="D33" s="19"/>
      <c r="E33" s="19"/>
    </row>
    <row r="34" customFormat="false" ht="15" hidden="false" customHeight="false" outlineLevel="0" collapsed="false">
      <c r="B34" s="16" t="s">
        <v>52</v>
      </c>
      <c r="C34" s="17" t="s">
        <v>53</v>
      </c>
      <c r="D34" s="17"/>
      <c r="E34" s="17"/>
    </row>
    <row r="35" customFormat="false" ht="15" hidden="false" customHeight="false" outlineLevel="0" collapsed="false">
      <c r="B35" s="18" t="s">
        <v>54</v>
      </c>
      <c r="C35" s="19" t="s">
        <v>55</v>
      </c>
      <c r="D35" s="19"/>
      <c r="E35" s="19"/>
    </row>
    <row r="37" customFormat="false" ht="15" hidden="false" customHeight="true" outlineLevel="0" collapsed="false">
      <c r="B37" s="20" t="s">
        <v>56</v>
      </c>
      <c r="C37" s="20"/>
      <c r="D37" s="20"/>
      <c r="E37" s="20"/>
      <c r="F37" s="20"/>
      <c r="G37" s="20"/>
      <c r="H37" s="20"/>
    </row>
    <row r="38" customFormat="false" ht="15" hidden="false" customHeight="false" outlineLevel="0" collapsed="false">
      <c r="B38" s="20"/>
      <c r="C38" s="20"/>
      <c r="D38" s="20"/>
      <c r="E38" s="20"/>
      <c r="F38" s="20"/>
      <c r="G38" s="20"/>
      <c r="H38" s="20"/>
    </row>
  </sheetData>
  <mergeCells count="33">
    <mergeCell ref="B2:H2"/>
    <mergeCell ref="B3:H3"/>
    <mergeCell ref="B5:D5"/>
    <mergeCell ref="G5:H5"/>
    <mergeCell ref="C6:E6"/>
    <mergeCell ref="G6:H13"/>
    <mergeCell ref="C7:E7"/>
    <mergeCell ref="C8:E8"/>
    <mergeCell ref="C9:E9"/>
    <mergeCell ref="C10:E10"/>
    <mergeCell ref="C11:E11"/>
    <mergeCell ref="C12:E12"/>
    <mergeCell ref="B15:E15"/>
    <mergeCell ref="C16:E16"/>
    <mergeCell ref="C17:E17"/>
    <mergeCell ref="C18:E18"/>
    <mergeCell ref="C19:E19"/>
    <mergeCell ref="C20:E20"/>
    <mergeCell ref="C21:E21"/>
    <mergeCell ref="C22:E22"/>
    <mergeCell ref="B24:H24"/>
    <mergeCell ref="C25:E25"/>
    <mergeCell ref="C26:E26"/>
    <mergeCell ref="C27:E27"/>
    <mergeCell ref="C28:E28"/>
    <mergeCell ref="C29:E29"/>
    <mergeCell ref="C30:E30"/>
    <mergeCell ref="C31:E31"/>
    <mergeCell ref="C32:E32"/>
    <mergeCell ref="C33:E33"/>
    <mergeCell ref="C34:E34"/>
    <mergeCell ref="C35:E35"/>
    <mergeCell ref="B37:H38"/>
  </mergeCells>
  <printOptions headings="false" gridLines="false" gridLinesSet="true" horizontalCentered="true" verticalCentered="false"/>
  <pageMargins left="0.75" right="0.75" top="1" bottom="1" header="0.5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&amp;LLaporan Harian Alat Berat</oddHeader>
    <oddFooter>&amp;LContoh site Kalsel  •  Rev. 00&amp;RHal. 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K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8" min="7" style="0" width="12"/>
    <col collapsed="false" customWidth="true" hidden="false" outlineLevel="0" max="10" min="9" style="0" width="16"/>
    <col collapsed="false" customWidth="true" hidden="false" outlineLevel="0" max="11" min="11" style="0" width="36"/>
  </cols>
  <sheetData>
    <row r="2" customFormat="false" ht="19.7" hidden="false" customHeight="false" outlineLevel="0" collapsed="false">
      <c r="B2" s="21" t="s">
        <v>57</v>
      </c>
      <c r="C2" s="21"/>
      <c r="D2" s="21"/>
      <c r="E2" s="21"/>
      <c r="F2" s="21"/>
      <c r="G2" s="21"/>
      <c r="H2" s="21"/>
      <c r="I2" s="21"/>
      <c r="J2" s="21"/>
      <c r="K2" s="21"/>
    </row>
    <row r="3" customFormat="false" ht="15" hidden="false" customHeight="false" outlineLevel="0" collapsed="false">
      <c r="B3" s="22" t="str">
        <f aca="false">CONCATENATE("Site: ",01_COVER!C7,"   |   Tanggal: ",TEXT(01_COVER!C9,"dd-mmm-yyyy"),"   |   ",01_COVER!C10)</f>
        <v>Site: Pit A — Kalimantan Selatan   |   Tanggal: 08-Sep-2026   |   Shift 1 + Shift 2 (24 jam)</v>
      </c>
      <c r="C3" s="22"/>
      <c r="D3" s="22"/>
      <c r="E3" s="22"/>
      <c r="F3" s="22"/>
      <c r="G3" s="22"/>
      <c r="H3" s="22"/>
      <c r="I3" s="22"/>
      <c r="J3" s="22"/>
      <c r="K3" s="22"/>
    </row>
    <row r="5" customFormat="false" ht="21.75" hidden="false" customHeight="true" outlineLevel="0" collapsed="false">
      <c r="B5" s="10" t="s">
        <v>58</v>
      </c>
      <c r="C5" s="10" t="s">
        <v>59</v>
      </c>
      <c r="D5" s="10" t="s">
        <v>60</v>
      </c>
      <c r="E5" s="10" t="s">
        <v>61</v>
      </c>
      <c r="F5" s="10" t="s">
        <v>62</v>
      </c>
      <c r="G5" s="10" t="s">
        <v>63</v>
      </c>
      <c r="H5" s="10" t="s">
        <v>64</v>
      </c>
      <c r="I5" s="10" t="s">
        <v>65</v>
      </c>
      <c r="J5" s="10" t="s">
        <v>66</v>
      </c>
      <c r="K5" s="10" t="s">
        <v>67</v>
      </c>
    </row>
    <row r="6" customFormat="false" ht="15" hidden="false" customHeight="false" outlineLevel="0" collapsed="false">
      <c r="B6" s="23" t="n">
        <v>1</v>
      </c>
      <c r="C6" s="24" t="s">
        <v>68</v>
      </c>
      <c r="D6" s="25" t="s">
        <v>69</v>
      </c>
      <c r="E6" s="26" t="n">
        <v>7000</v>
      </c>
      <c r="F6" s="25" t="s">
        <v>70</v>
      </c>
      <c r="G6" s="26" t="n">
        <v>6480</v>
      </c>
      <c r="H6" s="27" t="n">
        <f aca="false">IF(E6=0,"-",G6/E6)</f>
        <v>0.925714285714286</v>
      </c>
      <c r="I6" s="23" t="str">
        <f aca="false">IF(E6=0,"N/A",IF(H6&gt;=1,"TERCAPAI",IF(H6&gt;=0.9,"HAMPIR","DI BAWAH PLAN")))</f>
        <v>HAMPIR</v>
      </c>
      <c r="J6" s="28" t="n">
        <v>2.6</v>
      </c>
      <c r="K6" s="24" t="s">
        <v>71</v>
      </c>
    </row>
    <row r="7" customFormat="false" ht="15" hidden="false" customHeight="false" outlineLevel="0" collapsed="false">
      <c r="B7" s="23" t="n">
        <v>2</v>
      </c>
      <c r="C7" s="24" t="s">
        <v>72</v>
      </c>
      <c r="D7" s="25" t="s">
        <v>69</v>
      </c>
      <c r="E7" s="26" t="n">
        <v>6500</v>
      </c>
      <c r="F7" s="25" t="s">
        <v>70</v>
      </c>
      <c r="G7" s="26" t="n">
        <v>6120</v>
      </c>
      <c r="H7" s="27" t="n">
        <f aca="false">IF(E7=0,"-",G7/E7)</f>
        <v>0.941538461538462</v>
      </c>
      <c r="I7" s="23" t="str">
        <f aca="false">IF(E7=0,"N/A",IF(H7&gt;=1,"TERCAPAI",IF(H7&gt;=0.9,"HAMPIR","DI BAWAH PLAN")))</f>
        <v>HAMPIR</v>
      </c>
      <c r="J7" s="28" t="n">
        <v>3.1</v>
      </c>
      <c r="K7" s="24" t="s">
        <v>73</v>
      </c>
    </row>
    <row r="8" customFormat="false" ht="15" hidden="false" customHeight="false" outlineLevel="0" collapsed="false">
      <c r="B8" s="23" t="n">
        <v>3</v>
      </c>
      <c r="C8" s="24" t="s">
        <v>74</v>
      </c>
      <c r="D8" s="25" t="s">
        <v>75</v>
      </c>
      <c r="E8" s="26" t="n">
        <v>2700</v>
      </c>
      <c r="F8" s="25" t="s">
        <v>76</v>
      </c>
      <c r="G8" s="26" t="n">
        <v>2510</v>
      </c>
      <c r="H8" s="27" t="n">
        <f aca="false">IF(E8=0,"-",G8/E8)</f>
        <v>0.92962962962963</v>
      </c>
      <c r="I8" s="23" t="str">
        <f aca="false">IF(E8=0,"N/A",IF(H8&gt;=1,"TERCAPAI",IF(H8&gt;=0.9,"HAMPIR","DI BAWAH PLAN")))</f>
        <v>HAMPIR</v>
      </c>
      <c r="J8" s="28" t="n">
        <v>1.8</v>
      </c>
      <c r="K8" s="24" t="s">
        <v>77</v>
      </c>
    </row>
    <row r="9" customFormat="false" ht="15" hidden="false" customHeight="false" outlineLevel="0" collapsed="false">
      <c r="B9" s="23" t="n">
        <v>4</v>
      </c>
      <c r="C9" s="24" t="s">
        <v>78</v>
      </c>
      <c r="D9" s="25" t="s">
        <v>79</v>
      </c>
      <c r="E9" s="26" t="n">
        <v>0</v>
      </c>
      <c r="F9" s="25" t="s">
        <v>70</v>
      </c>
      <c r="G9" s="26" t="n">
        <v>0</v>
      </c>
      <c r="H9" s="27" t="str">
        <f aca="false">IF(E9=0,"-",G9/E9)</f>
        <v>-</v>
      </c>
      <c r="I9" s="23" t="str">
        <f aca="false">IF(E9=0,"N/A",IF(H9&gt;=1,"TERCAPAI",IF(H9&gt;=0.9,"HAMPIR","DI BAWAH PLAN")))</f>
        <v>N/A</v>
      </c>
      <c r="J9" s="28" t="n">
        <v>0</v>
      </c>
      <c r="K9" s="24" t="s">
        <v>80</v>
      </c>
    </row>
    <row r="10" customFormat="false" ht="15" hidden="false" customHeight="false" outlineLevel="0" collapsed="false">
      <c r="B10" s="23" t="n">
        <v>5</v>
      </c>
      <c r="C10" s="24" t="s">
        <v>81</v>
      </c>
      <c r="D10" s="25" t="s">
        <v>79</v>
      </c>
      <c r="E10" s="26" t="n">
        <v>0</v>
      </c>
      <c r="F10" s="25" t="s">
        <v>70</v>
      </c>
      <c r="G10" s="26" t="n">
        <v>0</v>
      </c>
      <c r="H10" s="27" t="str">
        <f aca="false">IF(E10=0,"-",G10/E10)</f>
        <v>-</v>
      </c>
      <c r="I10" s="23" t="str">
        <f aca="false">IF(E10=0,"N/A",IF(H10&gt;=1,"TERCAPAI",IF(H10&gt;=0.9,"HAMPIR","DI BAWAH PLAN")))</f>
        <v>N/A</v>
      </c>
      <c r="J10" s="28" t="n">
        <v>0</v>
      </c>
      <c r="K10" s="24" t="s">
        <v>82</v>
      </c>
    </row>
    <row r="11" customFormat="false" ht="15" hidden="false" customHeight="false" outlineLevel="0" collapsed="false">
      <c r="B11" s="23" t="n">
        <v>6</v>
      </c>
      <c r="C11" s="24" t="s">
        <v>83</v>
      </c>
      <c r="D11" s="25" t="s">
        <v>75</v>
      </c>
      <c r="E11" s="26" t="n">
        <v>0</v>
      </c>
      <c r="F11" s="25" t="s">
        <v>76</v>
      </c>
      <c r="G11" s="26" t="n">
        <v>0</v>
      </c>
      <c r="H11" s="27" t="str">
        <f aca="false">IF(E11=0,"-",G11/E11)</f>
        <v>-</v>
      </c>
      <c r="I11" s="23" t="str">
        <f aca="false">IF(E11=0,"N/A",IF(H11&gt;=1,"TERCAPAI",IF(H11&gt;=0.9,"HAMPIR","DI BAWAH PLAN")))</f>
        <v>N/A</v>
      </c>
      <c r="J11" s="28" t="n">
        <v>0</v>
      </c>
      <c r="K11" s="24" t="s">
        <v>84</v>
      </c>
    </row>
    <row r="12" customFormat="false" ht="15" hidden="false" customHeight="false" outlineLevel="0" collapsed="false">
      <c r="B12" s="23" t="n">
        <v>7</v>
      </c>
      <c r="C12" s="24" t="s">
        <v>85</v>
      </c>
      <c r="D12" s="25" t="s">
        <v>86</v>
      </c>
      <c r="E12" s="26" t="n">
        <v>0</v>
      </c>
      <c r="F12" s="25" t="s">
        <v>87</v>
      </c>
      <c r="G12" s="26" t="n">
        <v>0</v>
      </c>
      <c r="H12" s="27" t="str">
        <f aca="false">IF(E12=0,"-",G12/E12)</f>
        <v>-</v>
      </c>
      <c r="I12" s="23" t="str">
        <f aca="false">IF(E12=0,"N/A",IF(H12&gt;=1,"TERCAPAI",IF(H12&gt;=0.9,"HAMPIR","DI BAWAH PLAN")))</f>
        <v>N/A</v>
      </c>
      <c r="J12" s="28" t="n">
        <v>0</v>
      </c>
      <c r="K12" s="24" t="s">
        <v>88</v>
      </c>
    </row>
    <row r="14" customFormat="false" ht="15" hidden="false" customHeight="false" outlineLevel="0" collapsed="false">
      <c r="B14" s="9" t="s">
        <v>89</v>
      </c>
      <c r="C14" s="9"/>
      <c r="D14" s="9"/>
      <c r="E14" s="9"/>
      <c r="F14" s="9"/>
    </row>
    <row r="15" customFormat="false" ht="15" hidden="false" customHeight="false" outlineLevel="0" collapsed="false">
      <c r="B15" s="10" t="s">
        <v>90</v>
      </c>
      <c r="C15" s="10" t="s">
        <v>91</v>
      </c>
      <c r="D15" s="10" t="s">
        <v>63</v>
      </c>
      <c r="E15" s="10" t="s">
        <v>64</v>
      </c>
      <c r="F15" s="10" t="s">
        <v>92</v>
      </c>
    </row>
    <row r="16" customFormat="false" ht="35.05" hidden="false" customHeight="false" outlineLevel="0" collapsed="false">
      <c r="B16" s="29" t="s">
        <v>93</v>
      </c>
      <c r="C16" s="30" t="n">
        <f aca="false">SUMIF(D6:D12,"Overburden",E6:E12)</f>
        <v>13500</v>
      </c>
      <c r="D16" s="30" t="n">
        <f aca="false">SUMIF(D6:D12,"Overburden",G6:G12)</f>
        <v>12600</v>
      </c>
      <c r="E16" s="27" t="n">
        <f aca="false">IF(C16=0,"-",D16/C16)</f>
        <v>0.933333333333333</v>
      </c>
      <c r="F16" s="31" t="n">
        <f aca="false">C16-D16</f>
        <v>900</v>
      </c>
    </row>
    <row r="17" customFormat="false" ht="35.05" hidden="false" customHeight="false" outlineLevel="0" collapsed="false">
      <c r="B17" s="29" t="s">
        <v>94</v>
      </c>
      <c r="C17" s="30" t="n">
        <f aca="false">SUMIF(D6:D12,"Batubara",E6:E12)</f>
        <v>2700</v>
      </c>
      <c r="D17" s="30" t="n">
        <f aca="false">SUMIF(D6:D12,"Batubara",G6:G12)</f>
        <v>2510</v>
      </c>
      <c r="E17" s="27" t="n">
        <f aca="false">IF(C17=0,"-",D17/C17)</f>
        <v>0.92962962962963</v>
      </c>
      <c r="F17" s="31" t="n">
        <f aca="false">C17-D17</f>
        <v>190</v>
      </c>
    </row>
    <row r="18" customFormat="false" ht="57.45" hidden="false" customHeight="false" outlineLevel="0" collapsed="false">
      <c r="B18" s="32" t="s">
        <v>95</v>
      </c>
      <c r="C18" s="33" t="n">
        <f aca="false">IF(C17=0,"-",C16/C17)</f>
        <v>5</v>
      </c>
      <c r="D18" s="33" t="n">
        <f aca="false">IF(D17=0,"-",D16/D17)</f>
        <v>5.0199203187251</v>
      </c>
      <c r="E18" s="27" t="n">
        <f aca="false">IF(OR(C18="-",D18="-"),"-",D18/C18)</f>
        <v>1.00398406374502</v>
      </c>
      <c r="F18" s="23" t="str">
        <f aca="false">"SR actual vs plan"</f>
        <v>SR actual vs plan</v>
      </c>
    </row>
    <row r="20" customFormat="false" ht="15" hidden="false" customHeight="false" outlineLevel="0" collapsed="false">
      <c r="B20" s="34" t="s">
        <v>96</v>
      </c>
      <c r="C20" s="34"/>
      <c r="D20" s="34"/>
      <c r="E20" s="34"/>
      <c r="F20" s="34"/>
    </row>
    <row r="21" customFormat="false" ht="15" hidden="false" customHeight="false" outlineLevel="0" collapsed="false">
      <c r="B21" s="0" t="s">
        <v>97</v>
      </c>
      <c r="C21" s="24" t="s">
        <v>98</v>
      </c>
      <c r="E21" s="35" t="s">
        <v>99</v>
      </c>
      <c r="F21" s="36" t="s">
        <v>100</v>
      </c>
    </row>
    <row r="22" customFormat="false" ht="15" hidden="false" customHeight="false" outlineLevel="0" collapsed="false">
      <c r="B22" s="0" t="s">
        <v>101</v>
      </c>
      <c r="C22" s="24" t="s">
        <v>102</v>
      </c>
      <c r="E22" s="35" t="s">
        <v>103</v>
      </c>
      <c r="F22" s="37" t="n">
        <f aca="false">C23+C24</f>
        <v>2</v>
      </c>
    </row>
    <row r="23" customFormat="false" ht="15" hidden="false" customHeight="false" outlineLevel="0" collapsed="false">
      <c r="B23" s="0" t="s">
        <v>104</v>
      </c>
      <c r="C23" s="28" t="n">
        <v>0</v>
      </c>
      <c r="E23" s="35" t="s">
        <v>105</v>
      </c>
      <c r="F23" s="37" t="n">
        <f aca="false">F21-F22</f>
        <v>22</v>
      </c>
    </row>
    <row r="24" customFormat="false" ht="15" hidden="false" customHeight="false" outlineLevel="0" collapsed="false">
      <c r="B24" s="0" t="s">
        <v>106</v>
      </c>
      <c r="C24" s="28" t="n">
        <v>2</v>
      </c>
    </row>
    <row r="25" customFormat="false" ht="23.85" hidden="false" customHeight="false" outlineLevel="0" collapsed="false">
      <c r="B25" s="0" t="s">
        <v>107</v>
      </c>
      <c r="C25" s="24" t="s">
        <v>108</v>
      </c>
    </row>
    <row r="26" customFormat="false" ht="15" hidden="false" customHeight="true" outlineLevel="0" collapsed="false">
      <c r="B26" s="0" t="s">
        <v>109</v>
      </c>
      <c r="C26" s="6" t="s">
        <v>110</v>
      </c>
      <c r="D26" s="6"/>
      <c r="E26" s="6"/>
      <c r="F26" s="6"/>
    </row>
  </sheetData>
  <autoFilter ref="B5:K12"/>
  <mergeCells count="5">
    <mergeCell ref="B2:K2"/>
    <mergeCell ref="B3:K3"/>
    <mergeCell ref="B14:F14"/>
    <mergeCell ref="B20:F20"/>
    <mergeCell ref="C26:F26"/>
  </mergeCell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&amp;L02  Produksi harian</oddHeader>
    <oddFooter>&amp;RHal. &amp;P /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O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24"/>
    <col collapsed="false" customWidth="true" hidden="false" outlineLevel="0" max="6" min="6" style="0" width="10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10" min="9" style="0" width="12"/>
    <col collapsed="false" customWidth="true" hidden="false" outlineLevel="0" max="11" min="11" style="0" width="11"/>
    <col collapsed="false" customWidth="true" hidden="false" outlineLevel="0" max="12" min="12" style="0" width="12"/>
    <col collapsed="false" customWidth="true" hidden="false" outlineLevel="0" max="13" min="13" style="0" width="10"/>
    <col collapsed="false" customWidth="true" hidden="false" outlineLevel="0" max="14" min="14" style="0" width="11"/>
    <col collapsed="false" customWidth="true" hidden="false" outlineLevel="0" max="15" min="15" style="0" width="28"/>
  </cols>
  <sheetData>
    <row r="2" customFormat="false" ht="19.7" hidden="false" customHeight="false" outlineLevel="0" collapsed="false">
      <c r="B2" s="21" t="s">
        <v>111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</row>
    <row r="3" customFormat="false" ht="15" hidden="false" customHeight="false" outlineLevel="0" collapsed="false">
      <c r="B3" s="22" t="str">
        <f aca="false">CONCATENATE("Site: ",01_COVER!C7,"   |   ",TEXT(01_COVER!C9,"dd-mmm-yyyy"),"   |   Isi SMH, status, BBM, delay. Jam kerja = SMH akhir − SMH awal.")</f>
        <v>Site: Pit A — Kalimantan Selatan   |   08-Sep-2026   |   Isi SMH, status, BBM, delay. Jam kerja = SMH akhir − SMH awal.</v>
      </c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</row>
    <row r="5" customFormat="false" ht="24" hidden="false" customHeight="true" outlineLevel="0" collapsed="false">
      <c r="B5" s="10" t="s">
        <v>58</v>
      </c>
      <c r="C5" s="10" t="s">
        <v>34</v>
      </c>
      <c r="D5" s="10" t="s">
        <v>112</v>
      </c>
      <c r="E5" s="10" t="s">
        <v>113</v>
      </c>
      <c r="F5" s="10" t="s">
        <v>114</v>
      </c>
      <c r="G5" s="10" t="s">
        <v>115</v>
      </c>
      <c r="H5" s="10" t="s">
        <v>65</v>
      </c>
      <c r="I5" s="10" t="s">
        <v>116</v>
      </c>
      <c r="J5" s="10" t="s">
        <v>117</v>
      </c>
      <c r="K5" s="10" t="s">
        <v>118</v>
      </c>
      <c r="L5" s="10" t="s">
        <v>119</v>
      </c>
      <c r="M5" s="10" t="s">
        <v>120</v>
      </c>
      <c r="N5" s="10" t="s">
        <v>121</v>
      </c>
      <c r="O5" s="10" t="s">
        <v>67</v>
      </c>
    </row>
    <row r="6" customFormat="false" ht="18" hidden="false" customHeight="true" outlineLevel="0" collapsed="false">
      <c r="B6" s="38" t="n">
        <v>1</v>
      </c>
      <c r="C6" s="25" t="s">
        <v>122</v>
      </c>
      <c r="D6" s="25" t="s">
        <v>123</v>
      </c>
      <c r="E6" s="24" t="s">
        <v>124</v>
      </c>
      <c r="F6" s="25" t="s">
        <v>125</v>
      </c>
      <c r="G6" s="24" t="s">
        <v>74</v>
      </c>
      <c r="H6" s="25" t="s">
        <v>126</v>
      </c>
      <c r="I6" s="39" t="n">
        <v>14250</v>
      </c>
      <c r="J6" s="39" t="n">
        <v>14268</v>
      </c>
      <c r="K6" s="37" t="n">
        <f aca="false">IF(OR(I6="",J6=""),0,MAX(0,J6-I6))</f>
        <v>18</v>
      </c>
      <c r="L6" s="26" t="n">
        <v>210</v>
      </c>
      <c r="M6" s="25" t="s">
        <v>36</v>
      </c>
      <c r="N6" s="28" t="n">
        <v>0</v>
      </c>
      <c r="O6" s="24" t="s">
        <v>127</v>
      </c>
    </row>
    <row r="7" customFormat="false" ht="18" hidden="false" customHeight="true" outlineLevel="0" collapsed="false">
      <c r="B7" s="38" t="n">
        <v>2</v>
      </c>
      <c r="C7" s="25" t="s">
        <v>128</v>
      </c>
      <c r="D7" s="25" t="s">
        <v>123</v>
      </c>
      <c r="E7" s="24" t="s">
        <v>124</v>
      </c>
      <c r="F7" s="25" t="s">
        <v>125</v>
      </c>
      <c r="G7" s="24" t="s">
        <v>74</v>
      </c>
      <c r="H7" s="25" t="s">
        <v>126</v>
      </c>
      <c r="I7" s="39" t="n">
        <v>12880</v>
      </c>
      <c r="J7" s="39" t="n">
        <v>12897</v>
      </c>
      <c r="K7" s="37" t="n">
        <f aca="false">IF(OR(I7="",J7=""),0,MAX(0,J7-I7))</f>
        <v>17</v>
      </c>
      <c r="L7" s="26" t="n">
        <v>195</v>
      </c>
      <c r="M7" s="25" t="s">
        <v>52</v>
      </c>
      <c r="N7" s="28" t="n">
        <v>0.7</v>
      </c>
      <c r="O7" s="24" t="s">
        <v>129</v>
      </c>
    </row>
    <row r="8" customFormat="false" ht="18" hidden="false" customHeight="true" outlineLevel="0" collapsed="false">
      <c r="B8" s="38" t="n">
        <v>3</v>
      </c>
      <c r="C8" s="25" t="s">
        <v>130</v>
      </c>
      <c r="D8" s="25" t="s">
        <v>123</v>
      </c>
      <c r="E8" s="24" t="s">
        <v>131</v>
      </c>
      <c r="F8" s="25" t="s">
        <v>132</v>
      </c>
      <c r="G8" s="24" t="s">
        <v>68</v>
      </c>
      <c r="H8" s="25" t="s">
        <v>126</v>
      </c>
      <c r="I8" s="39" t="n">
        <v>6200</v>
      </c>
      <c r="J8" s="39" t="n">
        <v>6219</v>
      </c>
      <c r="K8" s="37" t="n">
        <f aca="false">IF(OR(I8="",J8=""),0,MAX(0,J8-I8))</f>
        <v>19</v>
      </c>
      <c r="L8" s="26" t="n">
        <v>380</v>
      </c>
      <c r="M8" s="25" t="s">
        <v>40</v>
      </c>
      <c r="N8" s="28" t="n">
        <v>1.5</v>
      </c>
      <c r="O8" s="24" t="s">
        <v>133</v>
      </c>
    </row>
    <row r="9" customFormat="false" ht="18" hidden="false" customHeight="true" outlineLevel="0" collapsed="false">
      <c r="B9" s="38" t="n">
        <v>4</v>
      </c>
      <c r="C9" s="25" t="s">
        <v>134</v>
      </c>
      <c r="D9" s="25" t="s">
        <v>123</v>
      </c>
      <c r="E9" s="24" t="s">
        <v>135</v>
      </c>
      <c r="F9" s="25" t="s">
        <v>136</v>
      </c>
      <c r="G9" s="24" t="s">
        <v>137</v>
      </c>
      <c r="H9" s="25" t="s">
        <v>44</v>
      </c>
      <c r="I9" s="39" t="n">
        <v>18900</v>
      </c>
      <c r="J9" s="39" t="n">
        <v>18900</v>
      </c>
      <c r="K9" s="37" t="n">
        <f aca="false">IF(OR(I9="",J9=""),0,MAX(0,J9-I9))</f>
        <v>0</v>
      </c>
      <c r="L9" s="26" t="n">
        <v>0</v>
      </c>
      <c r="M9" s="25" t="s">
        <v>44</v>
      </c>
      <c r="N9" s="28" t="n">
        <v>24</v>
      </c>
      <c r="O9" s="24" t="s">
        <v>138</v>
      </c>
    </row>
    <row r="10" customFormat="false" ht="18" hidden="false" customHeight="true" outlineLevel="0" collapsed="false">
      <c r="B10" s="38" t="n">
        <v>5</v>
      </c>
      <c r="C10" s="25" t="s">
        <v>139</v>
      </c>
      <c r="D10" s="25" t="s">
        <v>123</v>
      </c>
      <c r="E10" s="24" t="s">
        <v>140</v>
      </c>
      <c r="F10" s="25" t="s">
        <v>141</v>
      </c>
      <c r="G10" s="24" t="s">
        <v>72</v>
      </c>
      <c r="H10" s="25" t="s">
        <v>126</v>
      </c>
      <c r="I10" s="39" t="n">
        <v>9800</v>
      </c>
      <c r="J10" s="39" t="n">
        <v>9819</v>
      </c>
      <c r="K10" s="37" t="n">
        <f aca="false">IF(OR(I10="",J10=""),0,MAX(0,J10-I10))</f>
        <v>19</v>
      </c>
      <c r="L10" s="26" t="n">
        <v>520</v>
      </c>
      <c r="M10" s="25" t="s">
        <v>36</v>
      </c>
      <c r="N10" s="28" t="n">
        <v>0</v>
      </c>
      <c r="O10" s="24" t="s">
        <v>142</v>
      </c>
    </row>
    <row r="11" customFormat="false" ht="18" hidden="false" customHeight="true" outlineLevel="0" collapsed="false">
      <c r="B11" s="38" t="n">
        <v>6</v>
      </c>
      <c r="C11" s="25" t="s">
        <v>143</v>
      </c>
      <c r="D11" s="25" t="s">
        <v>123</v>
      </c>
      <c r="E11" s="24" t="s">
        <v>144</v>
      </c>
      <c r="F11" s="25" t="s">
        <v>141</v>
      </c>
      <c r="G11" s="24" t="s">
        <v>137</v>
      </c>
      <c r="H11" s="25" t="s">
        <v>145</v>
      </c>
      <c r="I11" s="39" t="n">
        <v>15400</v>
      </c>
      <c r="J11" s="39" t="n">
        <v>15400</v>
      </c>
      <c r="K11" s="37" t="n">
        <f aca="false">IF(OR(I11="",J11=""),0,MAX(0,J11-I11))</f>
        <v>0</v>
      </c>
      <c r="L11" s="26" t="n">
        <v>0</v>
      </c>
      <c r="M11" s="25" t="s">
        <v>46</v>
      </c>
      <c r="N11" s="28" t="n">
        <v>24</v>
      </c>
      <c r="O11" s="24" t="s">
        <v>146</v>
      </c>
    </row>
    <row r="12" customFormat="false" ht="18" hidden="false" customHeight="true" outlineLevel="0" collapsed="false">
      <c r="B12" s="38" t="n">
        <v>7</v>
      </c>
      <c r="C12" s="25" t="s">
        <v>147</v>
      </c>
      <c r="D12" s="25" t="s">
        <v>148</v>
      </c>
      <c r="E12" s="24" t="s">
        <v>149</v>
      </c>
      <c r="F12" s="25" t="s">
        <v>150</v>
      </c>
      <c r="G12" s="24" t="s">
        <v>68</v>
      </c>
      <c r="H12" s="25" t="s">
        <v>126</v>
      </c>
      <c r="I12" s="39" t="n">
        <v>20110</v>
      </c>
      <c r="J12" s="39" t="n">
        <v>20128</v>
      </c>
      <c r="K12" s="37" t="n">
        <f aca="false">IF(OR(I12="",J12=""),0,MAX(0,J12-I12))</f>
        <v>18</v>
      </c>
      <c r="L12" s="26" t="n">
        <v>1180</v>
      </c>
      <c r="M12" s="25" t="s">
        <v>40</v>
      </c>
      <c r="N12" s="28" t="n">
        <v>1.2</v>
      </c>
      <c r="O12" s="24" t="s">
        <v>151</v>
      </c>
    </row>
    <row r="13" customFormat="false" ht="18" hidden="false" customHeight="true" outlineLevel="0" collapsed="false">
      <c r="B13" s="38" t="n">
        <v>8</v>
      </c>
      <c r="C13" s="25" t="s">
        <v>152</v>
      </c>
      <c r="D13" s="25" t="s">
        <v>148</v>
      </c>
      <c r="E13" s="24" t="s">
        <v>149</v>
      </c>
      <c r="F13" s="25" t="s">
        <v>150</v>
      </c>
      <c r="G13" s="24" t="s">
        <v>68</v>
      </c>
      <c r="H13" s="25" t="s">
        <v>126</v>
      </c>
      <c r="I13" s="39" t="n">
        <v>17640</v>
      </c>
      <c r="J13" s="39" t="n">
        <v>17659</v>
      </c>
      <c r="K13" s="37" t="n">
        <f aca="false">IF(OR(I13="",J13=""),0,MAX(0,J13-I13))</f>
        <v>19</v>
      </c>
      <c r="L13" s="26" t="n">
        <v>1210</v>
      </c>
      <c r="M13" s="25" t="s">
        <v>36</v>
      </c>
      <c r="N13" s="28" t="n">
        <v>0</v>
      </c>
      <c r="O13" s="24" t="s">
        <v>151</v>
      </c>
    </row>
    <row r="14" customFormat="false" ht="18" hidden="false" customHeight="true" outlineLevel="0" collapsed="false">
      <c r="B14" s="38" t="n">
        <v>9</v>
      </c>
      <c r="C14" s="25" t="s">
        <v>153</v>
      </c>
      <c r="D14" s="25" t="s">
        <v>148</v>
      </c>
      <c r="E14" s="24" t="s">
        <v>149</v>
      </c>
      <c r="F14" s="25" t="s">
        <v>150</v>
      </c>
      <c r="G14" s="24" t="s">
        <v>72</v>
      </c>
      <c r="H14" s="25" t="s">
        <v>126</v>
      </c>
      <c r="I14" s="39" t="n">
        <v>8900</v>
      </c>
      <c r="J14" s="39" t="n">
        <v>8918</v>
      </c>
      <c r="K14" s="37" t="n">
        <f aca="false">IF(OR(I14="",J14=""),0,MAX(0,J14-I14))</f>
        <v>18</v>
      </c>
      <c r="L14" s="26" t="n">
        <v>1160</v>
      </c>
      <c r="M14" s="25" t="s">
        <v>36</v>
      </c>
      <c r="N14" s="28" t="n">
        <v>0.3</v>
      </c>
      <c r="O14" s="24" t="s">
        <v>154</v>
      </c>
    </row>
    <row r="15" customFormat="false" ht="18" hidden="false" customHeight="true" outlineLevel="0" collapsed="false">
      <c r="B15" s="38" t="n">
        <v>10</v>
      </c>
      <c r="C15" s="25" t="s">
        <v>155</v>
      </c>
      <c r="D15" s="25" t="s">
        <v>148</v>
      </c>
      <c r="E15" s="24" t="s">
        <v>149</v>
      </c>
      <c r="F15" s="25" t="s">
        <v>150</v>
      </c>
      <c r="G15" s="24" t="s">
        <v>72</v>
      </c>
      <c r="H15" s="25" t="s">
        <v>126</v>
      </c>
      <c r="I15" s="39" t="n">
        <v>22100</v>
      </c>
      <c r="J15" s="39" t="n">
        <v>22117</v>
      </c>
      <c r="K15" s="37" t="n">
        <f aca="false">IF(OR(I15="",J15=""),0,MAX(0,J15-I15))</f>
        <v>17</v>
      </c>
      <c r="L15" s="26" t="n">
        <v>1090</v>
      </c>
      <c r="M15" s="25" t="s">
        <v>42</v>
      </c>
      <c r="N15" s="28" t="n">
        <v>2</v>
      </c>
      <c r="O15" s="24" t="s">
        <v>156</v>
      </c>
    </row>
    <row r="16" customFormat="false" ht="18" hidden="false" customHeight="true" outlineLevel="0" collapsed="false">
      <c r="B16" s="38" t="n">
        <v>11</v>
      </c>
      <c r="C16" s="25" t="s">
        <v>157</v>
      </c>
      <c r="D16" s="25" t="s">
        <v>148</v>
      </c>
      <c r="E16" s="24" t="s">
        <v>149</v>
      </c>
      <c r="F16" s="25" t="s">
        <v>150</v>
      </c>
      <c r="G16" s="24" t="s">
        <v>158</v>
      </c>
      <c r="H16" s="25" t="s">
        <v>159</v>
      </c>
      <c r="I16" s="39" t="n">
        <v>19800</v>
      </c>
      <c r="J16" s="39" t="n">
        <v>19800</v>
      </c>
      <c r="K16" s="37" t="n">
        <f aca="false">IF(OR(I16="",J16=""),0,MAX(0,J16-I16))</f>
        <v>0</v>
      </c>
      <c r="L16" s="26" t="n">
        <v>0</v>
      </c>
      <c r="M16" s="25" t="s">
        <v>38</v>
      </c>
      <c r="N16" s="28" t="n">
        <v>24</v>
      </c>
      <c r="O16" s="24" t="s">
        <v>160</v>
      </c>
    </row>
    <row r="17" customFormat="false" ht="18" hidden="false" customHeight="true" outlineLevel="0" collapsed="false">
      <c r="B17" s="38" t="n">
        <v>12</v>
      </c>
      <c r="C17" s="25" t="s">
        <v>161</v>
      </c>
      <c r="D17" s="25" t="s">
        <v>148</v>
      </c>
      <c r="E17" s="24" t="s">
        <v>162</v>
      </c>
      <c r="F17" s="25" t="s">
        <v>163</v>
      </c>
      <c r="G17" s="24" t="s">
        <v>68</v>
      </c>
      <c r="H17" s="25" t="s">
        <v>126</v>
      </c>
      <c r="I17" s="39" t="n">
        <v>4100</v>
      </c>
      <c r="J17" s="39" t="n">
        <v>4119</v>
      </c>
      <c r="K17" s="37" t="n">
        <f aca="false">IF(OR(I17="",J17=""),0,MAX(0,J17-I17))</f>
        <v>19</v>
      </c>
      <c r="L17" s="26" t="n">
        <v>890</v>
      </c>
      <c r="M17" s="25" t="s">
        <v>36</v>
      </c>
      <c r="N17" s="28" t="n">
        <v>0</v>
      </c>
      <c r="O17" s="24" t="s">
        <v>151</v>
      </c>
    </row>
    <row r="18" customFormat="false" ht="18" hidden="false" customHeight="true" outlineLevel="0" collapsed="false">
      <c r="B18" s="38" t="n">
        <v>13</v>
      </c>
      <c r="C18" s="25" t="s">
        <v>164</v>
      </c>
      <c r="D18" s="25" t="s">
        <v>148</v>
      </c>
      <c r="E18" s="24" t="s">
        <v>162</v>
      </c>
      <c r="F18" s="25" t="s">
        <v>163</v>
      </c>
      <c r="G18" s="24" t="s">
        <v>72</v>
      </c>
      <c r="H18" s="25" t="s">
        <v>126</v>
      </c>
      <c r="I18" s="39" t="n">
        <v>3850</v>
      </c>
      <c r="J18" s="39" t="n">
        <v>3868</v>
      </c>
      <c r="K18" s="37" t="n">
        <f aca="false">IF(OR(I18="",J18=""),0,MAX(0,J18-I18))</f>
        <v>18</v>
      </c>
      <c r="L18" s="26" t="n">
        <v>870</v>
      </c>
      <c r="M18" s="25" t="s">
        <v>36</v>
      </c>
      <c r="N18" s="28" t="n">
        <v>0</v>
      </c>
      <c r="O18" s="24" t="s">
        <v>154</v>
      </c>
    </row>
    <row r="19" customFormat="false" ht="18" hidden="false" customHeight="true" outlineLevel="0" collapsed="false">
      <c r="B19" s="38" t="n">
        <v>14</v>
      </c>
      <c r="C19" s="25" t="s">
        <v>165</v>
      </c>
      <c r="D19" s="25" t="s">
        <v>148</v>
      </c>
      <c r="E19" s="24" t="s">
        <v>166</v>
      </c>
      <c r="F19" s="25" t="s">
        <v>167</v>
      </c>
      <c r="G19" s="24" t="s">
        <v>74</v>
      </c>
      <c r="H19" s="25" t="s">
        <v>126</v>
      </c>
      <c r="I19" s="39" t="n">
        <v>24500</v>
      </c>
      <c r="J19" s="39" t="n">
        <v>24516</v>
      </c>
      <c r="K19" s="37" t="n">
        <f aca="false">IF(OR(I19="",J19=""),0,MAX(0,J19-I19))</f>
        <v>16</v>
      </c>
      <c r="L19" s="26" t="n">
        <v>240</v>
      </c>
      <c r="M19" s="25" t="s">
        <v>36</v>
      </c>
      <c r="N19" s="28" t="n">
        <v>0</v>
      </c>
      <c r="O19" s="24" t="s">
        <v>168</v>
      </c>
    </row>
    <row r="20" customFormat="false" ht="18" hidden="false" customHeight="true" outlineLevel="0" collapsed="false">
      <c r="B20" s="38" t="n">
        <v>15</v>
      </c>
      <c r="C20" s="25" t="s">
        <v>169</v>
      </c>
      <c r="D20" s="25" t="s">
        <v>148</v>
      </c>
      <c r="E20" s="24" t="s">
        <v>166</v>
      </c>
      <c r="F20" s="25" t="s">
        <v>167</v>
      </c>
      <c r="G20" s="24" t="s">
        <v>74</v>
      </c>
      <c r="H20" s="25" t="s">
        <v>126</v>
      </c>
      <c r="I20" s="39" t="n">
        <v>23100</v>
      </c>
      <c r="J20" s="39" t="n">
        <v>23115</v>
      </c>
      <c r="K20" s="37" t="n">
        <f aca="false">IF(OR(I20="",J20=""),0,MAX(0,J20-I20))</f>
        <v>15</v>
      </c>
      <c r="L20" s="26" t="n">
        <v>235</v>
      </c>
      <c r="M20" s="25" t="s">
        <v>52</v>
      </c>
      <c r="N20" s="28" t="n">
        <v>0.7</v>
      </c>
      <c r="O20" s="24" t="s">
        <v>170</v>
      </c>
    </row>
    <row r="21" customFormat="false" ht="18" hidden="false" customHeight="true" outlineLevel="0" collapsed="false">
      <c r="B21" s="38" t="n">
        <v>16</v>
      </c>
      <c r="C21" s="25" t="s">
        <v>171</v>
      </c>
      <c r="D21" s="25" t="s">
        <v>148</v>
      </c>
      <c r="E21" s="24" t="s">
        <v>166</v>
      </c>
      <c r="F21" s="25" t="s">
        <v>167</v>
      </c>
      <c r="G21" s="24" t="s">
        <v>137</v>
      </c>
      <c r="H21" s="25" t="s">
        <v>172</v>
      </c>
      <c r="I21" s="39" t="n">
        <v>26800</v>
      </c>
      <c r="J21" s="39" t="n">
        <v>26800</v>
      </c>
      <c r="K21" s="37" t="n">
        <f aca="false">IF(OR(I21="",J21=""),0,MAX(0,J21-I21))</f>
        <v>0</v>
      </c>
      <c r="L21" s="26" t="n">
        <v>0</v>
      </c>
      <c r="M21" s="25" t="s">
        <v>48</v>
      </c>
      <c r="N21" s="28" t="n">
        <v>24</v>
      </c>
      <c r="O21" s="24" t="s">
        <v>173</v>
      </c>
    </row>
    <row r="22" customFormat="false" ht="18" hidden="false" customHeight="true" outlineLevel="0" collapsed="false">
      <c r="B22" s="38" t="n">
        <v>17</v>
      </c>
      <c r="C22" s="25" t="s">
        <v>174</v>
      </c>
      <c r="D22" s="25" t="s">
        <v>175</v>
      </c>
      <c r="E22" s="24" t="s">
        <v>176</v>
      </c>
      <c r="F22" s="25" t="s">
        <v>125</v>
      </c>
      <c r="G22" s="24" t="s">
        <v>177</v>
      </c>
      <c r="H22" s="25" t="s">
        <v>126</v>
      </c>
      <c r="I22" s="39" t="n">
        <v>16200</v>
      </c>
      <c r="J22" s="39" t="n">
        <v>16216</v>
      </c>
      <c r="K22" s="37" t="n">
        <f aca="false">IF(OR(I22="",J22=""),0,MAX(0,J22-I22))</f>
        <v>16</v>
      </c>
      <c r="L22" s="26" t="n">
        <v>620</v>
      </c>
      <c r="M22" s="25" t="s">
        <v>36</v>
      </c>
      <c r="N22" s="28" t="n">
        <v>0</v>
      </c>
      <c r="O22" s="24" t="s">
        <v>178</v>
      </c>
    </row>
    <row r="23" customFormat="false" ht="18" hidden="false" customHeight="true" outlineLevel="0" collapsed="false">
      <c r="B23" s="38" t="n">
        <v>18</v>
      </c>
      <c r="C23" s="25" t="s">
        <v>179</v>
      </c>
      <c r="D23" s="25" t="s">
        <v>175</v>
      </c>
      <c r="E23" s="24" t="s">
        <v>180</v>
      </c>
      <c r="F23" s="25" t="s">
        <v>181</v>
      </c>
      <c r="G23" s="24" t="s">
        <v>182</v>
      </c>
      <c r="H23" s="25" t="s">
        <v>126</v>
      </c>
      <c r="I23" s="39" t="n">
        <v>14100</v>
      </c>
      <c r="J23" s="39" t="n">
        <v>14114</v>
      </c>
      <c r="K23" s="37" t="n">
        <f aca="false">IF(OR(I23="",J23=""),0,MAX(0,J23-I23))</f>
        <v>14</v>
      </c>
      <c r="L23" s="26" t="n">
        <v>480</v>
      </c>
      <c r="M23" s="25" t="s">
        <v>42</v>
      </c>
      <c r="N23" s="28" t="n">
        <v>2</v>
      </c>
      <c r="O23" s="24" t="s">
        <v>183</v>
      </c>
    </row>
    <row r="24" customFormat="false" ht="18" hidden="false" customHeight="true" outlineLevel="0" collapsed="false">
      <c r="B24" s="38" t="n">
        <v>19</v>
      </c>
      <c r="C24" s="25" t="s">
        <v>184</v>
      </c>
      <c r="D24" s="25" t="s">
        <v>185</v>
      </c>
      <c r="E24" s="24" t="s">
        <v>186</v>
      </c>
      <c r="F24" s="25" t="s">
        <v>167</v>
      </c>
      <c r="G24" s="24" t="s">
        <v>182</v>
      </c>
      <c r="H24" s="25" t="s">
        <v>126</v>
      </c>
      <c r="I24" s="39" t="n">
        <v>11200</v>
      </c>
      <c r="J24" s="39" t="n">
        <v>11212</v>
      </c>
      <c r="K24" s="37" t="n">
        <f aca="false">IF(OR(I24="",J24=""),0,MAX(0,J24-I24))</f>
        <v>12</v>
      </c>
      <c r="L24" s="26" t="n">
        <v>310</v>
      </c>
      <c r="M24" s="25" t="s">
        <v>36</v>
      </c>
      <c r="N24" s="28" t="n">
        <v>0</v>
      </c>
      <c r="O24" s="24" t="s">
        <v>187</v>
      </c>
    </row>
    <row r="25" customFormat="false" ht="18" hidden="false" customHeight="true" outlineLevel="0" collapsed="false">
      <c r="B25" s="38" t="n">
        <v>20</v>
      </c>
      <c r="C25" s="25" t="s">
        <v>188</v>
      </c>
      <c r="D25" s="25" t="s">
        <v>189</v>
      </c>
      <c r="E25" s="24" t="s">
        <v>190</v>
      </c>
      <c r="F25" s="25" t="s">
        <v>191</v>
      </c>
      <c r="G25" s="24" t="s">
        <v>182</v>
      </c>
      <c r="H25" s="25" t="s">
        <v>126</v>
      </c>
      <c r="I25" s="39" t="n">
        <v>9800</v>
      </c>
      <c r="J25" s="39" t="n">
        <v>9812</v>
      </c>
      <c r="K25" s="37" t="n">
        <f aca="false">IF(OR(I25="",J25=""),0,MAX(0,J25-I25))</f>
        <v>12</v>
      </c>
      <c r="L25" s="26" t="n">
        <v>180</v>
      </c>
      <c r="M25" s="25" t="s">
        <v>36</v>
      </c>
      <c r="N25" s="28" t="n">
        <v>0</v>
      </c>
      <c r="O25" s="24" t="s">
        <v>192</v>
      </c>
    </row>
    <row r="26" customFormat="false" ht="18" hidden="false" customHeight="true" outlineLevel="0" collapsed="false">
      <c r="B26" s="38" t="n">
        <v>21</v>
      </c>
      <c r="C26" s="25" t="s">
        <v>193</v>
      </c>
      <c r="D26" s="25" t="s">
        <v>194</v>
      </c>
      <c r="E26" s="24" t="s">
        <v>195</v>
      </c>
      <c r="F26" s="25" t="s">
        <v>196</v>
      </c>
      <c r="G26" s="24" t="s">
        <v>83</v>
      </c>
      <c r="H26" s="25" t="s">
        <v>159</v>
      </c>
      <c r="I26" s="39" t="n">
        <v>13400</v>
      </c>
      <c r="J26" s="39" t="n">
        <v>13400</v>
      </c>
      <c r="K26" s="37" t="n">
        <f aca="false">IF(OR(I26="",J26=""),0,MAX(0,J26-I26))</f>
        <v>0</v>
      </c>
      <c r="L26" s="26" t="n">
        <v>0</v>
      </c>
      <c r="M26" s="25" t="s">
        <v>38</v>
      </c>
      <c r="N26" s="28" t="n">
        <v>24</v>
      </c>
      <c r="O26" s="24" t="s">
        <v>197</v>
      </c>
    </row>
    <row r="28" customFormat="false" ht="15" hidden="false" customHeight="true" outlineLevel="0" collapsed="false">
      <c r="B28" s="40" t="s">
        <v>198</v>
      </c>
      <c r="C28" s="40"/>
      <c r="D28" s="40"/>
      <c r="E28" s="40"/>
      <c r="F28" s="40"/>
      <c r="G28" s="40"/>
      <c r="H28" s="41"/>
      <c r="I28" s="41"/>
      <c r="J28" s="41"/>
      <c r="K28" s="42" t="n">
        <f aca="false">SUM(K6:K26)</f>
        <v>267</v>
      </c>
      <c r="L28" s="43" t="n">
        <f aca="false">SUM(L6:L26)</f>
        <v>9770</v>
      </c>
      <c r="M28" s="41"/>
      <c r="N28" s="42" t="n">
        <f aca="false">SUM(N6:N26)</f>
        <v>128.4</v>
      </c>
      <c r="O28" s="41"/>
    </row>
    <row r="30" customFormat="false" ht="15" hidden="false" customHeight="false" outlineLevel="0" collapsed="false">
      <c r="B30" s="35" t="s">
        <v>199</v>
      </c>
      <c r="C30" s="44" t="n">
        <f aca="false">COUNTIF(H6:H26,"OPERASI")</f>
        <v>16</v>
      </c>
      <c r="D30" s="35" t="s">
        <v>200</v>
      </c>
      <c r="E30" s="44" t="n">
        <f aca="false">COUNTIF(H6:H26,"BREAKDOWN")+COUNTIF(H6:H26,"WAITING PART")</f>
        <v>2</v>
      </c>
      <c r="F30" s="35" t="s">
        <v>201</v>
      </c>
      <c r="G30" s="44" t="n">
        <f aca="false">COUNTIF(H6:H26,"PM")</f>
        <v>1</v>
      </c>
      <c r="H30" s="35" t="s">
        <v>202</v>
      </c>
      <c r="I30" s="44" t="n">
        <f aca="false">COUNTIF(H6:H26,"STANDBY")</f>
        <v>2</v>
      </c>
      <c r="J30" s="35" t="s">
        <v>203</v>
      </c>
      <c r="K30" s="44" t="n">
        <f aca="false">COUNTA(C6:C26)</f>
        <v>21</v>
      </c>
    </row>
    <row r="32" customFormat="false" ht="15" hidden="false" customHeight="false" outlineLevel="0" collapsed="false">
      <c r="B32" s="35" t="s">
        <v>204</v>
      </c>
      <c r="E32" s="45" t="n">
        <f aca="false">IF(C30=0,0,SUMIF(H6:H26,"OPERASI",K6:K26)/C30)</f>
        <v>16.6875</v>
      </c>
    </row>
    <row r="33" customFormat="false" ht="15" hidden="false" customHeight="false" outlineLevel="0" collapsed="false">
      <c r="B33" s="35" t="s">
        <v>205</v>
      </c>
      <c r="E33" s="46" t="n">
        <f aca="false">L28</f>
        <v>9770</v>
      </c>
    </row>
  </sheetData>
  <autoFilter ref="B5:N26"/>
  <mergeCells count="3">
    <mergeCell ref="B2:N2"/>
    <mergeCell ref="B3:N3"/>
    <mergeCell ref="B28:G28"/>
  </mergeCells>
  <conditionalFormatting sqref="H6:H26">
    <cfRule type="expression" priority="2" aboveAverage="0" equalAverage="0" bottom="0" percent="0" rank="0" text="" dxfId="14">
      <formula>H6="BREAKDOWN"</formula>
    </cfRule>
    <cfRule type="expression" priority="3" aboveAverage="0" equalAverage="0" bottom="0" percent="0" rank="0" text="" dxfId="14">
      <formula>H6="WAITING PART"</formula>
    </cfRule>
    <cfRule type="expression" priority="4" aboveAverage="0" equalAverage="0" bottom="0" percent="0" rank="0" text="" dxfId="15">
      <formula>H6="PM"</formula>
    </cfRule>
    <cfRule type="expression" priority="5" aboveAverage="0" equalAverage="0" bottom="0" percent="0" rank="0" text="" dxfId="16">
      <formula>H6="OPERASI"</formula>
    </cfRule>
    <cfRule type="expression" priority="6" aboveAverage="0" equalAverage="0" bottom="0" percent="0" rank="0" text="" dxfId="17">
      <formula>H6="STANDBY"</formula>
    </cfRule>
  </conditionalFormatting>
  <dataValidations count="2">
    <dataValidation allowBlank="true" errorStyle="stop" operator="between" showDropDown="false" showErrorMessage="false" showInputMessage="false" sqref="H6:H26" type="list">
      <formula1>"OPERASI,STANDBY,BREAKDOWN,PM,WAITING PART"</formula1>
      <formula2>0</formula2>
    </dataValidation>
    <dataValidation allowBlank="true" errorStyle="stop" operator="between" showDropDown="false" showErrorMessage="false" showInputMessage="false" sqref="M6:M26" type="list">
      <formula1>"OPR,STB,QUE,RN,PM,BD,WP,TRV,BLST,NOOP"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&amp;L03  Timesheet unit</oddHeader>
    <oddFooter>&amp;RHal. &amp;P / 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I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2"/>
    <col collapsed="false" customWidth="true" hidden="false" outlineLevel="0" max="3" min="3" style="0" width="14"/>
    <col collapsed="false" customWidth="true" hidden="false" outlineLevel="0" max="4" min="4" style="0" width="22"/>
    <col collapsed="false" customWidth="true" hidden="false" outlineLevel="0" max="5" min="5" style="0" width="3"/>
    <col collapsed="false" customWidth="true" hidden="false" outlineLevel="0" max="6" min="6" style="0" width="34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12"/>
  </cols>
  <sheetData>
    <row r="2" customFormat="false" ht="19.7" hidden="false" customHeight="false" outlineLevel="0" collapsed="false">
      <c r="B2" s="21" t="s">
        <v>206</v>
      </c>
      <c r="C2" s="21"/>
      <c r="D2" s="21"/>
      <c r="E2" s="21"/>
      <c r="F2" s="21"/>
      <c r="G2" s="21"/>
      <c r="H2" s="21"/>
    </row>
    <row r="3" customFormat="false" ht="15" hidden="false" customHeight="false" outlineLevel="0" collapsed="false">
      <c r="B3" s="22" t="str">
        <f aca="false">CONCATENATE(01_COVER!C7,"  •  ",TEXT(01_COVER!C9,"dd-mmm-yyyy"))</f>
        <v>Pit A — Kalimantan Selatan  •  08-Sep-2026</v>
      </c>
      <c r="C3" s="22"/>
      <c r="D3" s="22"/>
      <c r="E3" s="22"/>
      <c r="F3" s="22"/>
      <c r="G3" s="22"/>
      <c r="H3" s="22"/>
    </row>
    <row r="5" customFormat="false" ht="15" hidden="false" customHeight="false" outlineLevel="0" collapsed="false">
      <c r="B5" s="9" t="s">
        <v>207</v>
      </c>
      <c r="C5" s="9"/>
      <c r="D5" s="9"/>
      <c r="F5" s="34" t="s">
        <v>208</v>
      </c>
      <c r="G5" s="34"/>
      <c r="H5" s="34"/>
    </row>
    <row r="6" customFormat="false" ht="15" hidden="false" customHeight="false" outlineLevel="0" collapsed="false">
      <c r="B6" s="5" t="s">
        <v>209</v>
      </c>
      <c r="C6" s="47" t="str">
        <f aca="false">02_PRODUKSI!F21</f>
        <v>24</v>
      </c>
      <c r="D6" s="48" t="s">
        <v>210</v>
      </c>
      <c r="F6" s="49" t="s">
        <v>211</v>
      </c>
      <c r="G6" s="50" t="n">
        <f aca="false">IF((C12+C14+C15)=0,0,(C12+C14+C15)/(C12+C13+C14+C15))</f>
        <v>0.878511769172361</v>
      </c>
      <c r="H6" s="51" t="str">
        <f aca="false">IF(G6&gt;=C8,"ON TARGET","DI BAWAH")</f>
        <v>ON TARGET</v>
      </c>
    </row>
    <row r="7" customFormat="false" ht="15" hidden="false" customHeight="false" outlineLevel="0" collapsed="false">
      <c r="B7" s="5" t="s">
        <v>212</v>
      </c>
      <c r="C7" s="47" t="n">
        <f aca="false">02_PRODUKSI!F22</f>
        <v>2</v>
      </c>
      <c r="D7" s="48" t="s">
        <v>210</v>
      </c>
      <c r="F7" s="49" t="s">
        <v>213</v>
      </c>
      <c r="G7" s="50" t="n">
        <f aca="false">IF((C12+C13)=0,0,C12/(C12+C13))</f>
        <v>0.847619047619048</v>
      </c>
      <c r="H7" s="51" t="str">
        <f aca="false">IF(G7&gt;=0.9,"ON TARGET","DI BAWAH")</f>
        <v>DI BAWAH</v>
      </c>
    </row>
    <row r="8" customFormat="false" ht="15" hidden="false" customHeight="false" outlineLevel="0" collapsed="false">
      <c r="B8" s="5" t="s">
        <v>214</v>
      </c>
      <c r="C8" s="52" t="n">
        <v>0.85</v>
      </c>
      <c r="D8" s="48" t="s">
        <v>215</v>
      </c>
      <c r="F8" s="49" t="s">
        <v>216</v>
      </c>
      <c r="G8" s="50" t="n">
        <f aca="false">IF((C12+C14)=0,0,C12/(C12+C14))</f>
        <v>0.826369545032498</v>
      </c>
      <c r="H8" s="51" t="str">
        <f aca="false">IF(G8&gt;=C9,"ON TARGET","DI BAWAH")</f>
        <v>DI BAWAH</v>
      </c>
    </row>
    <row r="9" customFormat="false" ht="15" hidden="false" customHeight="false" outlineLevel="0" collapsed="false">
      <c r="B9" s="5" t="s">
        <v>217</v>
      </c>
      <c r="C9" s="52" t="n">
        <v>0.83</v>
      </c>
      <c r="D9" s="48" t="s">
        <v>218</v>
      </c>
      <c r="F9" s="49" t="s">
        <v>219</v>
      </c>
      <c r="G9" s="50" t="n">
        <f aca="false">IF(C16=0,0,C12/C16)</f>
        <v>0.67577828397874</v>
      </c>
      <c r="H9" s="51" t="s">
        <v>220</v>
      </c>
    </row>
    <row r="11" customFormat="false" ht="15" hidden="false" customHeight="false" outlineLevel="0" collapsed="false">
      <c r="B11" s="15" t="s">
        <v>221</v>
      </c>
      <c r="C11" s="15"/>
      <c r="D11" s="15"/>
      <c r="F11" s="9" t="s">
        <v>222</v>
      </c>
      <c r="G11" s="9"/>
      <c r="H11" s="9"/>
    </row>
    <row r="12" customFormat="false" ht="15" hidden="false" customHeight="false" outlineLevel="0" collapsed="false">
      <c r="B12" s="53" t="s">
        <v>223</v>
      </c>
      <c r="C12" s="54" t="n">
        <f aca="false">SUMIF(03_TIMESHEET!H6:H26,"OPERASI",03_TIMESHEET!K6:K26)</f>
        <v>267</v>
      </c>
      <c r="F12" s="35" t="s">
        <v>224</v>
      </c>
      <c r="G12" s="55" t="n">
        <f aca="false">02_PRODUKSI!E16</f>
        <v>0.933333333333333</v>
      </c>
      <c r="H12" s="56" t="n">
        <f aca="false">02_PRODUKSI!D16</f>
        <v>12600</v>
      </c>
    </row>
    <row r="13" customFormat="false" ht="15" hidden="false" customHeight="false" outlineLevel="0" collapsed="false">
      <c r="B13" s="53" t="s">
        <v>225</v>
      </c>
      <c r="C13" s="54" t="n">
        <f aca="false">SUMIF(03_TIMESHEET!M6:M26,"BD",03_TIMESHEET!N6:N26)+SUMIF(03_TIMESHEET!M6:M26,"WP",03_TIMESHEET!N6:N26)</f>
        <v>48</v>
      </c>
      <c r="F13" s="35" t="s">
        <v>226</v>
      </c>
      <c r="G13" s="55" t="n">
        <f aca="false">02_PRODUKSI!E17</f>
        <v>0.92962962962963</v>
      </c>
      <c r="H13" s="56" t="n">
        <f aca="false">02_PRODUKSI!D17</f>
        <v>2510</v>
      </c>
    </row>
    <row r="14" customFormat="false" ht="15" hidden="false" customHeight="false" outlineLevel="0" collapsed="false">
      <c r="B14" s="53" t="s">
        <v>227</v>
      </c>
      <c r="C14" s="54" t="n">
        <f aca="false">SUMIF(03_TIMESHEET!M6:M26,"STB",03_TIMESHEET!N6:N26)+SUMIF(03_TIMESHEET!M6:M26,"QUE",03_TIMESHEET!N6:N26)+SUMIF(03_TIMESHEET!M6:M26,"RN",03_TIMESHEET!N6:N26)+SUMIF(03_TIMESHEET!M6:M26,"NOOP",03_TIMESHEET!N6:N26)+SUMIF(03_TIMESHEET!M6:M26,"BLST",03_TIMESHEET!N6:N26)+SUMIF(03_TIMESHEET!M6:M26,"TRV",03_TIMESHEET!N6:N26)</f>
        <v>56.1</v>
      </c>
      <c r="F14" s="35" t="s">
        <v>228</v>
      </c>
      <c r="G14" s="57" t="n">
        <f aca="false">02_PRODUKSI!D18</f>
        <v>5.0199203187251</v>
      </c>
      <c r="H14" s="48" t="s">
        <v>229</v>
      </c>
      <c r="I14" s="58" t="n">
        <f aca="false">02_PRODUKSI!C18</f>
        <v>5</v>
      </c>
    </row>
    <row r="15" customFormat="false" ht="15" hidden="false" customHeight="false" outlineLevel="0" collapsed="false">
      <c r="B15" s="53" t="s">
        <v>230</v>
      </c>
      <c r="C15" s="54" t="n">
        <f aca="false">SUMIF(03_TIMESHEET!M6:M26,"PM",03_TIMESHEET!N6:N26)</f>
        <v>24</v>
      </c>
    </row>
    <row r="16" customFormat="false" ht="15" hidden="false" customHeight="false" outlineLevel="0" collapsed="false">
      <c r="B16" s="53" t="s">
        <v>231</v>
      </c>
      <c r="C16" s="54" t="n">
        <f aca="false">C12+C13+C14+C15</f>
        <v>395.1</v>
      </c>
      <c r="F16" s="15" t="s">
        <v>232</v>
      </c>
      <c r="G16" s="15"/>
      <c r="H16" s="15"/>
    </row>
    <row r="17" customFormat="false" ht="15" hidden="false" customHeight="false" outlineLevel="0" collapsed="false">
      <c r="F17" s="35" t="s">
        <v>233</v>
      </c>
      <c r="G17" s="59" t="n">
        <f aca="false">03_TIMESHEET!E33</f>
        <v>9770</v>
      </c>
    </row>
    <row r="18" customFormat="false" ht="15" hidden="false" customHeight="false" outlineLevel="0" collapsed="false">
      <c r="B18" s="9" t="s">
        <v>234</v>
      </c>
      <c r="C18" s="9"/>
      <c r="D18" s="9"/>
      <c r="F18" s="35" t="s">
        <v>235</v>
      </c>
      <c r="G18" s="57" t="n">
        <f aca="false">IF(02_PRODUKSI!D16=0,"-",G17/02_PRODUKSI!D16)</f>
        <v>0.775396825396825</v>
      </c>
    </row>
    <row r="19" customFormat="false" ht="15" hidden="false" customHeight="true" outlineLevel="0" collapsed="false">
      <c r="B19" s="60" t="s">
        <v>236</v>
      </c>
      <c r="C19" s="60"/>
      <c r="D19" s="60"/>
      <c r="F19" s="35" t="s">
        <v>237</v>
      </c>
      <c r="G19" s="57" t="n">
        <f aca="false">IF(C12=0,"-",G17/C12)</f>
        <v>36.5917602996255</v>
      </c>
    </row>
    <row r="20" customFormat="false" ht="15" hidden="false" customHeight="false" outlineLevel="0" collapsed="false">
      <c r="B20" s="60"/>
      <c r="C20" s="60"/>
      <c r="D20" s="60"/>
    </row>
    <row r="21" customFormat="false" ht="15" hidden="false" customHeight="false" outlineLevel="0" collapsed="false">
      <c r="B21" s="60"/>
      <c r="C21" s="60"/>
      <c r="D21" s="60"/>
    </row>
    <row r="22" customFormat="false" ht="15" hidden="false" customHeight="false" outlineLevel="0" collapsed="false">
      <c r="B22" s="60"/>
      <c r="C22" s="60"/>
      <c r="D22" s="60"/>
    </row>
    <row r="23" customFormat="false" ht="15" hidden="false" customHeight="false" outlineLevel="0" collapsed="false">
      <c r="B23" s="60"/>
      <c r="C23" s="60"/>
      <c r="D23" s="60"/>
    </row>
  </sheetData>
  <mergeCells count="9">
    <mergeCell ref="B2:H2"/>
    <mergeCell ref="B3:H3"/>
    <mergeCell ref="B5:D5"/>
    <mergeCell ref="F5:H5"/>
    <mergeCell ref="B11:D11"/>
    <mergeCell ref="F11:H11"/>
    <mergeCell ref="F16:H16"/>
    <mergeCell ref="B18:D18"/>
    <mergeCell ref="B19:D23"/>
  </mergeCells>
  <printOptions headings="false" gridLines="false" gridLinesSet="true" horizontalCentered="false" verticalCentered="false"/>
  <pageMargins left="0.75" right="0.75" top="1" bottom="1" header="0.5" footer="0.5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&amp;L04  KPI harian</oddHeader>
    <oddFooter>&amp;RHal. 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K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"/>
    <col collapsed="false" customWidth="true" hidden="false" outlineLevel="0" max="3" min="3" style="0" width="10"/>
    <col collapsed="false" customWidth="true" hidden="false" outlineLevel="0" max="5" min="4" style="0" width="14"/>
    <col collapsed="false" customWidth="true" hidden="false" outlineLevel="0" max="6" min="6" style="0" width="32"/>
    <col collapsed="false" customWidth="true" hidden="false" outlineLevel="0" max="8" min="7" style="0" width="12"/>
    <col collapsed="false" customWidth="true" hidden="false" outlineLevel="0" max="9" min="9" style="0" width="22"/>
    <col collapsed="false" customWidth="true" hidden="false" outlineLevel="0" max="10" min="10" style="0" width="16"/>
    <col collapsed="false" customWidth="true" hidden="false" outlineLevel="0" max="11" min="11" style="0" width="42"/>
  </cols>
  <sheetData>
    <row r="2" customFormat="false" ht="19.7" hidden="false" customHeight="false" outlineLevel="0" collapsed="false">
      <c r="B2" s="21" t="s">
        <v>238</v>
      </c>
      <c r="C2" s="21"/>
      <c r="D2" s="21"/>
      <c r="E2" s="21"/>
      <c r="F2" s="21"/>
      <c r="G2" s="21"/>
      <c r="H2" s="21"/>
      <c r="I2" s="21"/>
      <c r="J2" s="21"/>
      <c r="K2" s="21"/>
    </row>
    <row r="3" customFormat="false" ht="15" hidden="false" customHeight="false" outlineLevel="0" collapsed="false">
      <c r="B3" s="61" t="s">
        <v>239</v>
      </c>
      <c r="C3" s="61"/>
      <c r="D3" s="61"/>
      <c r="E3" s="61"/>
      <c r="F3" s="61"/>
      <c r="G3" s="61"/>
      <c r="H3" s="61"/>
      <c r="I3" s="61"/>
      <c r="J3" s="61"/>
      <c r="K3" s="61"/>
    </row>
    <row r="5" customFormat="false" ht="21.75" hidden="false" customHeight="true" outlineLevel="0" collapsed="false">
      <c r="B5" s="10" t="s">
        <v>58</v>
      </c>
      <c r="C5" s="10" t="s">
        <v>34</v>
      </c>
      <c r="D5" s="10" t="s">
        <v>112</v>
      </c>
      <c r="E5" s="10" t="s">
        <v>65</v>
      </c>
      <c r="F5" s="10" t="s">
        <v>240</v>
      </c>
      <c r="G5" s="10" t="s">
        <v>241</v>
      </c>
      <c r="H5" s="10" t="s">
        <v>242</v>
      </c>
      <c r="I5" s="10" t="s">
        <v>243</v>
      </c>
      <c r="J5" s="10" t="s">
        <v>244</v>
      </c>
      <c r="K5" s="10" t="s">
        <v>245</v>
      </c>
    </row>
    <row r="6" customFormat="false" ht="27.75" hidden="false" customHeight="true" outlineLevel="0" collapsed="false">
      <c r="B6" s="62" t="n">
        <v>1</v>
      </c>
      <c r="C6" s="25" t="s">
        <v>143</v>
      </c>
      <c r="D6" s="25" t="s">
        <v>123</v>
      </c>
      <c r="E6" s="25" t="s">
        <v>145</v>
      </c>
      <c r="F6" s="24" t="s">
        <v>246</v>
      </c>
      <c r="G6" s="28" t="n">
        <v>6</v>
      </c>
      <c r="H6" s="28" t="n">
        <v>24</v>
      </c>
      <c r="I6" s="24" t="s">
        <v>247</v>
      </c>
      <c r="J6" s="25" t="s">
        <v>248</v>
      </c>
      <c r="K6" s="24" t="s">
        <v>249</v>
      </c>
    </row>
    <row r="7" customFormat="false" ht="27.75" hidden="false" customHeight="true" outlineLevel="0" collapsed="false">
      <c r="B7" s="62" t="n">
        <v>2</v>
      </c>
      <c r="C7" s="25" t="s">
        <v>157</v>
      </c>
      <c r="D7" s="25" t="s">
        <v>148</v>
      </c>
      <c r="E7" s="25" t="s">
        <v>159</v>
      </c>
      <c r="F7" s="24" t="s">
        <v>250</v>
      </c>
      <c r="G7" s="28" t="n">
        <v>0</v>
      </c>
      <c r="H7" s="28" t="n">
        <v>24</v>
      </c>
      <c r="I7" s="24" t="s">
        <v>251</v>
      </c>
      <c r="J7" s="25" t="s">
        <v>252</v>
      </c>
      <c r="K7" s="24" t="s">
        <v>253</v>
      </c>
    </row>
    <row r="8" customFormat="false" ht="27.75" hidden="false" customHeight="true" outlineLevel="0" collapsed="false">
      <c r="B8" s="62" t="n">
        <v>3</v>
      </c>
      <c r="C8" s="25" t="s">
        <v>171</v>
      </c>
      <c r="D8" s="25" t="s">
        <v>148</v>
      </c>
      <c r="E8" s="25" t="s">
        <v>172</v>
      </c>
      <c r="F8" s="24" t="s">
        <v>254</v>
      </c>
      <c r="G8" s="28" t="n">
        <v>0</v>
      </c>
      <c r="H8" s="28" t="n">
        <v>24</v>
      </c>
      <c r="I8" s="24" t="s">
        <v>255</v>
      </c>
      <c r="J8" s="25" t="s">
        <v>256</v>
      </c>
      <c r="K8" s="24" t="s">
        <v>257</v>
      </c>
    </row>
    <row r="9" customFormat="false" ht="27.75" hidden="false" customHeight="true" outlineLevel="0" collapsed="false">
      <c r="B9" s="62" t="n">
        <v>4</v>
      </c>
      <c r="C9" s="25" t="s">
        <v>134</v>
      </c>
      <c r="D9" s="25" t="s">
        <v>123</v>
      </c>
      <c r="E9" s="25" t="s">
        <v>44</v>
      </c>
      <c r="F9" s="24" t="s">
        <v>258</v>
      </c>
      <c r="G9" s="28" t="n">
        <v>7</v>
      </c>
      <c r="H9" s="28" t="n">
        <v>24</v>
      </c>
      <c r="I9" s="24" t="s">
        <v>259</v>
      </c>
      <c r="J9" s="25" t="s">
        <v>260</v>
      </c>
      <c r="K9" s="24" t="s">
        <v>261</v>
      </c>
    </row>
    <row r="10" customFormat="false" ht="27.75" hidden="false" customHeight="true" outlineLevel="0" collapsed="false">
      <c r="B10" s="62" t="n">
        <v>5</v>
      </c>
      <c r="C10" s="25" t="s">
        <v>193</v>
      </c>
      <c r="D10" s="25" t="s">
        <v>194</v>
      </c>
      <c r="E10" s="25" t="s">
        <v>159</v>
      </c>
      <c r="F10" s="24" t="s">
        <v>197</v>
      </c>
      <c r="G10" s="28" t="n">
        <v>0</v>
      </c>
      <c r="H10" s="28" t="n">
        <v>24</v>
      </c>
      <c r="I10" s="24" t="s">
        <v>262</v>
      </c>
      <c r="J10" s="25" t="s">
        <v>262</v>
      </c>
      <c r="K10" s="24" t="s">
        <v>263</v>
      </c>
    </row>
    <row r="13" customFormat="false" ht="18.65" hidden="false" customHeight="false" outlineLevel="0" collapsed="false">
      <c r="B13" s="63" t="s">
        <v>264</v>
      </c>
      <c r="D13" s="64" t="n">
        <f aca="false">03_TIMESHEET!K30-03_TIMESHEET!C30</f>
        <v>5</v>
      </c>
      <c r="E13" s="65" t="s">
        <v>265</v>
      </c>
    </row>
    <row r="15" customFormat="false" ht="15" hidden="false" customHeight="false" outlineLevel="0" collapsed="false">
      <c r="B15" s="34" t="s">
        <v>266</v>
      </c>
      <c r="C15" s="34"/>
      <c r="D15" s="34"/>
      <c r="E15" s="34"/>
      <c r="F15" s="34"/>
      <c r="G15" s="34"/>
      <c r="H15" s="34"/>
      <c r="I15" s="34"/>
      <c r="J15" s="34"/>
      <c r="K15" s="34"/>
    </row>
    <row r="16" customFormat="false" ht="15" hidden="false" customHeight="true" outlineLevel="0" collapsed="false">
      <c r="B16" s="66" t="s">
        <v>267</v>
      </c>
      <c r="C16" s="66"/>
      <c r="D16" s="66"/>
      <c r="E16" s="66"/>
      <c r="F16" s="66"/>
      <c r="G16" s="66"/>
      <c r="H16" s="66"/>
      <c r="I16" s="66"/>
      <c r="J16" s="66"/>
      <c r="K16" s="66"/>
    </row>
    <row r="17" customFormat="false" ht="15" hidden="false" customHeight="false" outlineLevel="0" collapsed="false">
      <c r="B17" s="66"/>
      <c r="C17" s="66"/>
      <c r="D17" s="66"/>
      <c r="E17" s="66"/>
      <c r="F17" s="66"/>
      <c r="G17" s="66"/>
      <c r="H17" s="66"/>
      <c r="I17" s="66"/>
      <c r="J17" s="66"/>
      <c r="K17" s="66"/>
    </row>
    <row r="18" customFormat="false" ht="15" hidden="false" customHeight="false" outlineLevel="0" collapsed="false">
      <c r="B18" s="66"/>
      <c r="C18" s="66"/>
      <c r="D18" s="66"/>
      <c r="E18" s="66"/>
      <c r="F18" s="66"/>
      <c r="G18" s="66"/>
      <c r="H18" s="66"/>
      <c r="I18" s="66"/>
      <c r="J18" s="66"/>
      <c r="K18" s="66"/>
    </row>
  </sheetData>
  <autoFilter ref="B5:K12"/>
  <mergeCells count="4">
    <mergeCell ref="B2:K2"/>
    <mergeCell ref="B3:K3"/>
    <mergeCell ref="B15:K15"/>
    <mergeCell ref="B16:K18"/>
  </mergeCells>
  <printOptions headings="false" gridLines="false" gridLinesSet="true" horizontalCentered="false" verticalCentered="false"/>
  <pageMargins left="0.75" right="0.75" top="1" bottom="1" header="0.5" footer="0.5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&amp;L05  Breakdown tindakan</oddHeader>
    <oddFooter>&amp;RHal. &amp;P / &amp;N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H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22"/>
    <col collapsed="false" customWidth="true" hidden="false" outlineLevel="0" max="4" min="4" style="0" width="42"/>
    <col collapsed="false" customWidth="true" hidden="false" outlineLevel="0" max="5" min="5" style="0" width="3"/>
    <col collapsed="false" customWidth="true" hidden="false" outlineLevel="0" max="6" min="6" style="0" width="20"/>
    <col collapsed="false" customWidth="true" hidden="false" outlineLevel="0" max="7" min="7" style="0" width="14"/>
    <col collapsed="false" customWidth="true" hidden="false" outlineLevel="0" max="8" min="8" style="0" width="18"/>
  </cols>
  <sheetData>
    <row r="2" customFormat="false" ht="22.05" hidden="false" customHeight="false" outlineLevel="0" collapsed="false">
      <c r="B2" s="67" t="s">
        <v>268</v>
      </c>
      <c r="C2" s="67"/>
      <c r="D2" s="67"/>
      <c r="E2" s="67"/>
      <c r="F2" s="67"/>
      <c r="G2" s="67"/>
      <c r="H2" s="67"/>
    </row>
    <row r="3" customFormat="false" ht="15" hidden="false" customHeight="false" outlineLevel="0" collapsed="false">
      <c r="B3" s="68" t="str">
        <f aca="false">CONCATENATE(01_COVER!C6,"  •  ",01_COVER!C7,"  •  ",TEXT(01_COVER!C9,"dd-mmm-yyyy"),"  •  ",01_COVER!C10)</f>
        <v>PT Contoh Mining Indonesia  •  Pit A — Kalimantan Selatan  •  08-Sep-2026  •  Shift 1 + Shift 2 (24 jam)</v>
      </c>
      <c r="C3" s="68"/>
      <c r="D3" s="68"/>
      <c r="E3" s="68"/>
      <c r="F3" s="68"/>
      <c r="G3" s="68"/>
      <c r="H3" s="68"/>
    </row>
    <row r="4" customFormat="false" ht="15" hidden="false" customHeight="false" outlineLevel="0" collapsed="false">
      <c r="B4" s="9" t="s">
        <v>269</v>
      </c>
      <c r="C4" s="9"/>
      <c r="D4" s="9"/>
      <c r="F4" s="15" t="s">
        <v>270</v>
      </c>
      <c r="G4" s="15"/>
      <c r="H4" s="15"/>
    </row>
    <row r="5" customFormat="false" ht="15" hidden="false" customHeight="false" outlineLevel="0" collapsed="false">
      <c r="B5" s="10" t="s">
        <v>271</v>
      </c>
      <c r="C5" s="10" t="s">
        <v>272</v>
      </c>
      <c r="D5" s="10" t="s">
        <v>65</v>
      </c>
      <c r="F5" s="10" t="s">
        <v>65</v>
      </c>
      <c r="G5" s="10" t="s">
        <v>273</v>
      </c>
      <c r="H5" s="10" t="s">
        <v>274</v>
      </c>
    </row>
    <row r="6" customFormat="false" ht="15" hidden="false" customHeight="false" outlineLevel="0" collapsed="false">
      <c r="B6" s="18" t="s">
        <v>275</v>
      </c>
      <c r="C6" s="69" t="str">
        <f aca="false">TEXT(02_PRODUKSI!D16,"#,##0")&amp;" BCM"</f>
        <v>12,600 BCM</v>
      </c>
      <c r="D6" s="23" t="str">
        <f aca="false">TEXT(02_PRODUKSI!E16,"0.0%")&amp;" vs plan"</f>
        <v>93.3% vs plan</v>
      </c>
      <c r="F6" s="16" t="s">
        <v>126</v>
      </c>
      <c r="G6" s="70" t="n">
        <f aca="false">03_TIMESHEET!C30</f>
        <v>16</v>
      </c>
      <c r="H6" s="27" t="n">
        <f aca="false">IF(03_TIMESHEET!K30=0,0,G6/03_TIMESHEET!K30)</f>
        <v>0.761904761904762</v>
      </c>
    </row>
    <row r="7" customFormat="false" ht="15" hidden="false" customHeight="false" outlineLevel="0" collapsed="false">
      <c r="B7" s="18" t="s">
        <v>276</v>
      </c>
      <c r="C7" s="69" t="str">
        <f aca="false">TEXT(02_PRODUKSI!D17,"#,##0")&amp;" ton"</f>
        <v>2,510 ton</v>
      </c>
      <c r="D7" s="23" t="str">
        <f aca="false">TEXT(02_PRODUKSI!E17,"0.0%")&amp;" vs plan"</f>
        <v>93.0% vs plan</v>
      </c>
      <c r="F7" s="16" t="s">
        <v>159</v>
      </c>
      <c r="G7" s="70" t="n">
        <f aca="false">03_TIMESHEET!I30</f>
        <v>2</v>
      </c>
      <c r="H7" s="27" t="n">
        <f aca="false">IF(03_TIMESHEET!K30=0,0,G7/03_TIMESHEET!K30)</f>
        <v>0.0952380952380952</v>
      </c>
    </row>
    <row r="8" customFormat="false" ht="15" hidden="false" customHeight="false" outlineLevel="0" collapsed="false">
      <c r="B8" s="18" t="s">
        <v>277</v>
      </c>
      <c r="C8" s="69" t="str">
        <f aca="false">TEXT(04_KPI!G6,"0.0%")</f>
        <v>87.9%</v>
      </c>
      <c r="D8" s="23" t="str">
        <f aca="false">04_KPI!H6</f>
        <v>ON TARGET</v>
      </c>
      <c r="F8" s="16" t="s">
        <v>44</v>
      </c>
      <c r="G8" s="70" t="n">
        <f aca="false">03_TIMESHEET!G30</f>
        <v>1</v>
      </c>
      <c r="H8" s="27" t="n">
        <f aca="false">IF(03_TIMESHEET!K30=0,0,G8/03_TIMESHEET!K30)</f>
        <v>0.0476190476190476</v>
      </c>
    </row>
    <row r="9" customFormat="false" ht="15" hidden="false" customHeight="false" outlineLevel="0" collapsed="false">
      <c r="B9" s="18" t="s">
        <v>278</v>
      </c>
      <c r="C9" s="69" t="str">
        <f aca="false">TEXT(04_KPI!G8,"0.0%")</f>
        <v>82.6%</v>
      </c>
      <c r="D9" s="23" t="str">
        <f aca="false">04_KPI!H8</f>
        <v>DI BAWAH</v>
      </c>
      <c r="F9" s="16" t="s">
        <v>279</v>
      </c>
      <c r="G9" s="70" t="n">
        <f aca="false">03_TIMESHEET!E30</f>
        <v>2</v>
      </c>
      <c r="H9" s="27" t="n">
        <f aca="false">IF(03_TIMESHEET!K30=0,0,G9/03_TIMESHEET!K30)</f>
        <v>0.0952380952380952</v>
      </c>
    </row>
    <row r="10" customFormat="false" ht="15" hidden="false" customHeight="false" outlineLevel="0" collapsed="false">
      <c r="B10" s="18" t="s">
        <v>280</v>
      </c>
      <c r="C10" s="69" t="str">
        <f aca="false">TEXT(04_KPI!G7,"0.0%")</f>
        <v>84.8%</v>
      </c>
      <c r="D10" s="23" t="str">
        <f aca="false">04_KPI!H7</f>
        <v>DI BAWAH</v>
      </c>
      <c r="F10" s="16" t="s">
        <v>203</v>
      </c>
      <c r="G10" s="70" t="n">
        <f aca="false">03_TIMESHEET!K30</f>
        <v>21</v>
      </c>
      <c r="H10" s="71" t="s">
        <v>281</v>
      </c>
    </row>
    <row r="11" customFormat="false" ht="15" hidden="false" customHeight="false" outlineLevel="0" collapsed="false">
      <c r="B11" s="18" t="s">
        <v>282</v>
      </c>
      <c r="C11" s="69" t="str">
        <f aca="false">TEXT(02_PRODUKSI!D18,"0.00")&amp;" BCM/ton"</f>
        <v>5.02 BCM/ton</v>
      </c>
      <c r="D11" s="23" t="str">
        <f aca="false">"Plan "&amp;TEXT(02_PRODUKSI!C18,"0.00")</f>
        <v>Plan 5.00</v>
      </c>
    </row>
    <row r="12" customFormat="false" ht="15" hidden="false" customHeight="false" outlineLevel="0" collapsed="false">
      <c r="B12" s="18" t="s">
        <v>283</v>
      </c>
      <c r="C12" s="69" t="str">
        <f aca="false">TEXT(04_KPI!G17,"#,##0")&amp;" liter"</f>
        <v>9,770 liter</v>
      </c>
      <c r="D12" s="23" t="str">
        <f aca="false">IF(04_KPI!G18="-","-",TEXT(04_KPI!G18,"0.00")&amp;" L/BCM")</f>
        <v>0.78 L/BCM</v>
      </c>
    </row>
    <row r="14" customFormat="false" ht="15" hidden="false" customHeight="false" outlineLevel="0" collapsed="false">
      <c r="B14" s="72" t="s">
        <v>284</v>
      </c>
      <c r="C14" s="72"/>
      <c r="D14" s="72"/>
      <c r="F14" s="34" t="s">
        <v>285</v>
      </c>
      <c r="G14" s="34"/>
      <c r="H14" s="34"/>
    </row>
    <row r="15" customFormat="false" ht="27.75" hidden="false" customHeight="true" outlineLevel="0" collapsed="false">
      <c r="B15" s="73" t="str">
        <f aca="false">05_BREAKDOWN!C6</f>
        <v>EX-06</v>
      </c>
      <c r="C15" s="74" t="str">
        <f aca="false">05_BREAKDOWN!E6</f>
        <v>BREAKDOWN</v>
      </c>
      <c r="D15" s="74" t="str">
        <f aca="false">05_BREAKDOWN!K6</f>
        <v>Tarik unit ke workshop; pinjam EX rental jika gap OB &gt; 10%</v>
      </c>
      <c r="F15" s="75" t="s">
        <v>286</v>
      </c>
      <c r="G15" s="76" t="str">
        <f aca="false">02_PRODUKSI!C21</f>
        <v>Cerah berawan</v>
      </c>
      <c r="H15" s="76"/>
    </row>
    <row r="16" customFormat="false" ht="27.75" hidden="false" customHeight="true" outlineLevel="0" collapsed="false">
      <c r="B16" s="73" t="str">
        <f aca="false">05_BREAKDOWN!C7</f>
        <v>DT-05</v>
      </c>
      <c r="C16" s="74" t="str">
        <f aca="false">05_BREAKDOWN!E7</f>
        <v>STANDBY</v>
      </c>
      <c r="D16" s="74" t="str">
        <f aca="false">05_BREAKDOWN!K7</f>
        <v>Cek stok OTR; jika kosong ajukan emergency PO</v>
      </c>
      <c r="F16" s="75" t="s">
        <v>287</v>
      </c>
      <c r="G16" s="76" t="str">
        <f aca="false">02_PRODUKSI!C22</f>
        <v>Hujan ringan 21.00–23.00</v>
      </c>
      <c r="H16" s="76"/>
    </row>
    <row r="17" customFormat="false" ht="27.75" hidden="false" customHeight="true" outlineLevel="0" collapsed="false">
      <c r="B17" s="73" t="str">
        <f aca="false">05_BREAKDOWN!C8</f>
        <v>DT-10</v>
      </c>
      <c r="C17" s="74" t="str">
        <f aca="false">05_BREAKDOWN!E8</f>
        <v>WAITING PART</v>
      </c>
      <c r="D17" s="74" t="str">
        <f aca="false">05_BREAKDOWN!K8</f>
        <v>Kejar part ke vendor Banjarmasin</v>
      </c>
      <c r="F17" s="75" t="s">
        <v>212</v>
      </c>
      <c r="G17" s="77" t="str">
        <f aca="false">TEXT(02_PRODUKSI!F22,"0.0")&amp;" jam"</f>
        <v>2.0 jam</v>
      </c>
      <c r="H17" s="77"/>
    </row>
    <row r="19" customFormat="false" ht="15" hidden="false" customHeight="false" outlineLevel="0" collapsed="false">
      <c r="B19" s="78" t="str">
        <f aca="false">CONCATENATE("CATATAN OPERASI: ",02_PRODUKSI!C26)</f>
        <v>CATATAN OPERASI: Antrian 4 unit di Front OB-1 pukul 10–12. Front Coal delay blasting 40 menit.</v>
      </c>
      <c r="C19" s="78"/>
      <c r="D19" s="78"/>
      <c r="E19" s="78"/>
      <c r="F19" s="78"/>
      <c r="G19" s="78"/>
      <c r="H19" s="78"/>
    </row>
    <row r="20" customFormat="false" ht="15" hidden="false" customHeight="false" outlineLevel="0" collapsed="false">
      <c r="B20" s="78"/>
      <c r="C20" s="78"/>
      <c r="D20" s="78"/>
      <c r="E20" s="78"/>
      <c r="F20" s="78"/>
      <c r="G20" s="78"/>
      <c r="H20" s="78"/>
    </row>
    <row r="21" customFormat="false" ht="15" hidden="false" customHeight="false" outlineLevel="0" collapsed="false">
      <c r="B21" s="78"/>
      <c r="C21" s="78"/>
      <c r="D21" s="78"/>
      <c r="E21" s="78"/>
      <c r="F21" s="78"/>
      <c r="G21" s="78"/>
      <c r="H21" s="78"/>
    </row>
    <row r="23" customFormat="false" ht="15" hidden="false" customHeight="false" outlineLevel="0" collapsed="false">
      <c r="B23" s="79" t="s">
        <v>288</v>
      </c>
      <c r="C23" s="79"/>
      <c r="D23" s="79"/>
      <c r="E23" s="79"/>
      <c r="F23" s="79"/>
      <c r="G23" s="79"/>
      <c r="H23" s="79"/>
    </row>
  </sheetData>
  <mergeCells count="11">
    <mergeCell ref="B2:H2"/>
    <mergeCell ref="B3:H3"/>
    <mergeCell ref="B4:D4"/>
    <mergeCell ref="F4:H4"/>
    <mergeCell ref="B14:D14"/>
    <mergeCell ref="F14:H14"/>
    <mergeCell ref="G15:H15"/>
    <mergeCell ref="G16:H16"/>
    <mergeCell ref="G17:H17"/>
    <mergeCell ref="B19:H21"/>
    <mergeCell ref="B23:H23"/>
  </mergeCell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&amp;L06  Rekap morning meeting</oddHeader>
    <oddFooter>&amp;LContoh site Kalsel  •  Rev. 00&amp;RHal.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2026-09-07T19:18:40Z</dcterms:created>
  <dc:creator>openpyxl</dc:creator>
  <dc:description/>
  <dc:language>en-US</dc:language>
  <cp:lastModifiedBy/>
  <dcterms:modified xsi:type="dcterms:W3CDTF">2026-09-07T19:18:40Z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