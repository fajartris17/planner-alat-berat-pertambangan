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COVER" sheetId="1" state="visible" r:id="rId3"/>
    <sheet name="02_KELAS_ALAT" sheetId="2" state="visible" r:id="rId4"/>
    <sheet name="03_PART_SERVICE" sheetId="3" state="visible" r:id="rId5"/>
    <sheet name="04_MONITORING" sheetId="4" state="visible" r:id="rId6"/>
    <sheet name="05_WO_SERVICE" sheetId="5" state="visible" r:id="rId7"/>
    <sheet name="06_GENERAL_OH" sheetId="6" state="visible" r:id="rId8"/>
  </sheets>
  <definedNames>
    <definedName function="false" hidden="true" localSheetId="1" name="_xlnm._FilterDatabase" vbProcedure="false">02_KELAS_ALAT!$B$4:$I$27</definedName>
    <definedName function="false" hidden="true" localSheetId="2" name="_xlnm._FilterDatabase" vbProcedure="false">03_PART_SERVICE!$B$4:$L$74</definedName>
    <definedName function="false" hidden="true" localSheetId="3" name="_xlnm._FilterDatabase" vbProcedure="false">04_MONITORING!$B$5:$N$28</definedName>
    <definedName function="false" hidden="true" localSheetId="5" name="_xlnm._FilterDatabase" vbProcedure="false">06_GENERAL_OH!$B$4:$I$36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<sst xmlns="http://schemas.openxmlformats.org/spreadsheetml/2006/main" count="1018" uniqueCount="554">
  <si>
    <t xml:space="preserve">PLANT DEPARTMENT  •  SERVICE MONITORING WORKSHOP</t>
  </si>
  <si>
    <t xml:space="preserve">HD Dump Truck  •  Dozer  •  Grader  •  Excavator  (kelas kecil → besar)  •  Part wajib ganti per HM 500 / 1000 / 1500 / 2000 + General Overhaul</t>
  </si>
  <si>
    <t xml:space="preserve">IDENTITAS SITE  (sel kuning = input)</t>
  </si>
  <si>
    <t xml:space="preserve">CARA PAKAI WORKSHOP</t>
  </si>
  <si>
    <t xml:space="preserve">Perusahaan</t>
  </si>
  <si>
    <t xml:space="preserve">PT Contoh Mining Indonesia</t>
  </si>
  <si>
    <t xml:space="preserve">1. Isi identitas kiri.
2. Lihat 02_KELAS_ALAT — pilih kelas unit (kecil/sedang/besar).
3. Buka 03_PART_SERVICE — filter jenis alat + interval HM.
4. Isi 04_MONITORING — HM aktual tiap unit; status DUE otomatis.
5. Pakai 05_WO_SERVICE untuk work order harian workshop.
6. 06_GENERAL_OH untuk paket overhaul 4.000 / 6.000 / 12.000 HM.
GANTI = part/oli wajib diganti. SAMPLE = oil analysis. INSPEKSI = cek, ganti jika aus.</t>
  </si>
  <si>
    <t xml:space="preserve">Site / Pit</t>
  </si>
  <si>
    <t xml:space="preserve">Pit A — Kalimantan Selatan</t>
  </si>
  <si>
    <t xml:space="preserve">Departemen</t>
  </si>
  <si>
    <t xml:space="preserve">Plant / Workshop</t>
  </si>
  <si>
    <t xml:space="preserve">Periode monitoring</t>
  </si>
  <si>
    <t xml:space="preserve">September 2026</t>
  </si>
  <si>
    <t xml:space="preserve">Disusun oleh</t>
  </si>
  <si>
    <t xml:space="preserve">Plant Planner / Service Supervisor</t>
  </si>
  <si>
    <t xml:space="preserve">Standar acuan</t>
  </si>
  <si>
    <t xml:space="preserve">OEM lubrication chart Komatsu / CAT / Hitachi / Sany + SOP site</t>
  </si>
  <si>
    <t xml:space="preserve">ISI WORKBOOK</t>
  </si>
  <si>
    <t xml:space="preserve">Sheet</t>
  </si>
  <si>
    <t xml:space="preserve">Fungsi</t>
  </si>
  <si>
    <t xml:space="preserve">01_COVER</t>
  </si>
  <si>
    <t xml:space="preserve">Identitas + petunjuk</t>
  </si>
  <si>
    <t xml:space="preserve">02_KELAS_ALAT</t>
  </si>
  <si>
    <t xml:space="preserve">Klasifikasi HD, dozer, grader, excavator kecil–besar</t>
  </si>
  <si>
    <t xml:space="preserve">03_PART_SERVICE</t>
  </si>
  <si>
    <t xml:space="preserve">Daftar part wajib per interval 500/1000/1500/2000 HM</t>
  </si>
  <si>
    <t xml:space="preserve">04_MONITORING</t>
  </si>
  <si>
    <t xml:space="preserve">Status due service seluruh fleet workshop</t>
  </si>
  <si>
    <t xml:space="preserve">05_WO_SERVICE</t>
  </si>
  <si>
    <t xml:space="preserve">Work order + checklist part terpasang</t>
  </si>
  <si>
    <t xml:space="preserve">06_GENERAL_OH</t>
  </si>
  <si>
    <t xml:space="preserve">Paket general overhaul komponen utama</t>
  </si>
  <si>
    <t xml:space="preserve">PENTING: Interval dan part number final WAJIB merujuk lubrication chart / OMM OEM sesuai model + serial number unit. Template ini merangkum praktik umum site tambang terbuka (Komatsu, CAT, Hitachi, Sany). Kondisi debu tinggi / solar jelek / material sticky bisa mempercepat ganti filter (kadang 250 HM). Keputusan ganti oli hidraulik/transmisi sebaiknya dikunci dengan hasil oil analysis (KOWA / SOS).</t>
  </si>
  <si>
    <t xml:space="preserve">KLASIFIKASI ALAT TAMBANG  —  KECIL SAMPAI BESAR</t>
  </si>
  <si>
    <t xml:space="preserve">Pakai kolom Kelas saat mengisi 04_MONITORING. Volume oli = tipikal; cek dipstick / tank capacity OEM.</t>
  </si>
  <si>
    <t xml:space="preserve">No</t>
  </si>
  <si>
    <t xml:space="preserve">Jenis</t>
  </si>
  <si>
    <t xml:space="preserve">Kelas</t>
  </si>
  <si>
    <t xml:space="preserve">Contoh model site</t>
  </si>
  <si>
    <t xml:space="preserve">Kapasitas kerja</t>
  </si>
  <si>
    <t xml:space="preserve">Oli mesín tipikal (L)</t>
  </si>
  <si>
    <t xml:space="preserve">Oli hidraulik tipikal (L)</t>
  </si>
  <si>
    <t xml:space="preserve">Catatan service</t>
  </si>
  <si>
    <t xml:space="preserve">Excavator</t>
  </si>
  <si>
    <t xml:space="preserve">Kecil 20–25 t</t>
  </si>
  <si>
    <t xml:space="preserve">PC200 / SY215 / CAT 320</t>
  </si>
  <si>
    <t xml:space="preserve">Bucket 0,9–1,2 m3</t>
  </si>
  <si>
    <t xml:space="preserve">Filter kecil; swing drive 1000 HM</t>
  </si>
  <si>
    <t xml:space="preserve">Kecil-sedang 30–40 t</t>
  </si>
  <si>
    <t xml:space="preserve">PC300 / PC400 / CAT 336 / SY365</t>
  </si>
  <si>
    <t xml:space="preserve">Bucket 1,4–2,5 m3</t>
  </si>
  <si>
    <t xml:space="preserve">Paling banyak di front coal</t>
  </si>
  <si>
    <t xml:space="preserve">Sedang 70–90 t</t>
  </si>
  <si>
    <t xml:space="preserve">PC800 / SY750 / CAT 374</t>
  </si>
  <si>
    <t xml:space="preserve">Bucket 3,5–4,8 m3</t>
  </si>
  <si>
    <t xml:space="preserve">Hydraulic return filter 500 HM</t>
  </si>
  <si>
    <t xml:space="preserve">Besar 120–140 t</t>
  </si>
  <si>
    <t xml:space="preserve">PC1250 / EX1200 / CAT 395</t>
  </si>
  <si>
    <t xml:space="preserve">Bucket 6,5–7,5 m3</t>
  </si>
  <si>
    <t xml:space="preserve">Pilot + case drain filter wajib 500</t>
  </si>
  <si>
    <t xml:space="preserve">Sangat besar 180–250 t</t>
  </si>
  <si>
    <t xml:space="preserve">PC2000 / EX1900 / CAT 6020</t>
  </si>
  <si>
    <t xml:space="preserve">Bucket 11–15 m3</t>
  </si>
  <si>
    <t xml:space="preserve">Oil analysis tiap 250–500 HM</t>
  </si>
  <si>
    <t xml:space="preserve">HD Dump Truck</t>
  </si>
  <si>
    <t xml:space="preserve">Kecil on-highway 20–30 t</t>
  </si>
  <si>
    <t xml:space="preserve">Hino FM / Howo 371 / Nissan CWA</t>
  </si>
  <si>
    <t xml:space="preserve">Bak 12–18 m3</t>
  </si>
  <si>
    <t xml:space="preserve">Filter solar sering 250 HM jika solar kotor</t>
  </si>
  <si>
    <t xml:space="preserve">Sedang rigid 55–65 t</t>
  </si>
  <si>
    <t xml:space="preserve">HD465 / CAT 773</t>
  </si>
  <si>
    <t xml:space="preserve">Bak 30–40 m3</t>
  </si>
  <si>
    <t xml:space="preserve">Transmisi filter 500; oli TM 1000</t>
  </si>
  <si>
    <t xml:space="preserve">Besar rigid 90–100 t</t>
  </si>
  <si>
    <t xml:space="preserve">HD785 / CAT 777 / Sany SKT90</t>
  </si>
  <si>
    <t xml:space="preserve">Bak 50–60 m3</t>
  </si>
  <si>
    <t xml:space="preserve">Brake cooling oil 2000 HM</t>
  </si>
  <si>
    <t xml:space="preserve">Sangat besar 140 t+</t>
  </si>
  <si>
    <t xml:space="preserve">HD1500 / CAT 789 / CAT 793</t>
  </si>
  <si>
    <t xml:space="preserve">Bak 90–130 m3</t>
  </si>
  <si>
    <t xml:space="preserve">Paket filter mahal; lock stock kritis</t>
  </si>
  <si>
    <t xml:space="preserve">Dozer</t>
  </si>
  <si>
    <t xml:space="preserve">Kecil 15–20 t</t>
  </si>
  <si>
    <t xml:space="preserve">D65 / D85 / CAT D6</t>
  </si>
  <si>
    <t xml:space="preserve">Blade 4–5 m3</t>
  </si>
  <si>
    <t xml:space="preserve">Undercarriage ukur tiap 500</t>
  </si>
  <si>
    <t xml:space="preserve">Sedang 30–40 t</t>
  </si>
  <si>
    <t xml:space="preserve">D155 / CAT D8 / CAT D9</t>
  </si>
  <si>
    <t xml:space="preserve">Blade 8–12 m3</t>
  </si>
  <si>
    <t xml:space="preserve">Final drive oil 1000 HM</t>
  </si>
  <si>
    <t xml:space="preserve">Besar 50–70 t</t>
  </si>
  <si>
    <t xml:space="preserve">D375 / CAT D10</t>
  </si>
  <si>
    <t xml:space="preserve">Blade 15–20 m3</t>
  </si>
  <si>
    <t xml:space="preserve">Equalizer bar + pivot shaft cek 1000</t>
  </si>
  <si>
    <t xml:space="preserve">Sangat besar 80–130 t</t>
  </si>
  <si>
    <t xml:space="preserve">D475 / CAT D11</t>
  </si>
  <si>
    <t xml:space="preserve">Blade 25–35 m3</t>
  </si>
  <si>
    <t xml:space="preserve">Ripper pin &amp; bushing inspeksi 500</t>
  </si>
  <si>
    <t xml:space="preserve">Grader</t>
  </si>
  <si>
    <t xml:space="preserve">Kecil 12–16 t</t>
  </si>
  <si>
    <t xml:space="preserve">GD535 / CAT 12M / 140K</t>
  </si>
  <si>
    <t xml:space="preserve">Blade 3,7 m</t>
  </si>
  <si>
    <t xml:space="preserve">Circle drive oil 1000</t>
  </si>
  <si>
    <t xml:space="preserve">Sedang 18–22 t</t>
  </si>
  <si>
    <t xml:space="preserve">GD705 / CAT 14M / 16M</t>
  </si>
  <si>
    <t xml:space="preserve">Blade 4,3 m</t>
  </si>
  <si>
    <t xml:space="preserve">Articulation bearing grease harian</t>
  </si>
  <si>
    <t xml:space="preserve">Besar 24–30 t</t>
  </si>
  <si>
    <t xml:space="preserve">GD825 / CAT 24</t>
  </si>
  <si>
    <t xml:space="preserve">Blade 4,9–7,3 m</t>
  </si>
  <si>
    <t xml:space="preserve">Wheel lean + tandem drive 1000</t>
  </si>
  <si>
    <t xml:space="preserve">Pendukung</t>
  </si>
  <si>
    <t xml:space="preserve">Wheel loader 5–8 m3</t>
  </si>
  <si>
    <t xml:space="preserve">WA500 / 90ZV / CAT 980</t>
  </si>
  <si>
    <t xml:space="preserve">Bucket 5–8 m3</t>
  </si>
  <si>
    <t xml:space="preserve">Paket mirip excavator sedang</t>
  </si>
  <si>
    <t xml:space="preserve">Water truck / fuel truck</t>
  </si>
  <si>
    <t xml:space="preserve">Hino 500 + tangki</t>
  </si>
  <si>
    <t xml:space="preserve">10–20 kL</t>
  </si>
  <si>
    <t xml:space="preserve">PTO + pompa: filter hidraulik 500</t>
  </si>
  <si>
    <t xml:space="preserve">Compactor</t>
  </si>
  <si>
    <t xml:space="preserve">Bomag BW212 / CAT CS</t>
  </si>
  <si>
    <t xml:space="preserve">12 t</t>
  </si>
  <si>
    <t xml:space="preserve">Vibratory bearing grease 250–500</t>
  </si>
  <si>
    <t xml:space="preserve">Tower lamp / genset site</t>
  </si>
  <si>
    <t xml:space="preserve">Berbagai merk</t>
  </si>
  <si>
    <t xml:space="preserve">-</t>
  </si>
  <si>
    <t xml:space="preserve">Oli mesin 250–500 sesuai genset</t>
  </si>
  <si>
    <t xml:space="preserve">DAFTAR PART WAJIB  —  SERVICE PER HM</t>
  </si>
  <si>
    <t xml:space="preserve">Interval 500 / 1000 / 1500 / 2000 HM. Aksi: GANTI = wajib ganti. SAMPLE = kirim oil analysis. INSPEKSI = ukur/cek, ganti jika aus. Qty tipikal 1 unit — sesuaikan parts book.</t>
  </si>
  <si>
    <t xml:space="preserve">Jenis alat</t>
  </si>
  <si>
    <t xml:space="preserve">Kelas berlaku</t>
  </si>
  <si>
    <t xml:space="preserve">Interval HM</t>
  </si>
  <si>
    <t xml:space="preserve">Sistem</t>
  </si>
  <si>
    <t xml:space="preserve">Item / part</t>
  </si>
  <si>
    <t xml:space="preserve">Aksi</t>
  </si>
  <si>
    <t xml:space="preserve">Qty tipikal</t>
  </si>
  <si>
    <t xml:space="preserve">Satuan</t>
  </si>
  <si>
    <t xml:space="preserve">Catatan workshop</t>
  </si>
  <si>
    <t xml:space="preserve">Stok min</t>
  </si>
  <si>
    <t xml:space="preserve">Lead time (hari)</t>
  </si>
  <si>
    <t xml:space="preserve">Semua</t>
  </si>
  <si>
    <t xml:space="preserve">Semua jenis alat produksi</t>
  </si>
  <si>
    <t xml:space="preserve">Engine</t>
  </si>
  <si>
    <t xml:space="preserve">Engine oil (oli mesin)</t>
  </si>
  <si>
    <t xml:space="preserve">GANTI</t>
  </si>
  <si>
    <t xml:space="preserve">service</t>
  </si>
  <si>
    <t xml:space="preserve">EO 15W-40 CI-4 / DH-1 sesuai OEM</t>
  </si>
  <si>
    <t xml:space="preserve">Engine oil filter cartridge</t>
  </si>
  <si>
    <t xml:space="preserve">pcs</t>
  </si>
  <si>
    <t xml:space="preserve">Qty 1–4 tergantung kelas mesin</t>
  </si>
  <si>
    <t xml:space="preserve">Engine bypass filter (jika ada)</t>
  </si>
  <si>
    <t xml:space="preserve">HD besar &amp; excavator besar sering ada</t>
  </si>
  <si>
    <t xml:space="preserve">Fuel</t>
  </si>
  <si>
    <t xml:space="preserve">Fuel filter primer / water separator</t>
  </si>
  <si>
    <t xml:space="preserve">Di site solar kotor boleh 250 HM</t>
  </si>
  <si>
    <t xml:space="preserve">Fuel filter sekunder</t>
  </si>
  <si>
    <t xml:space="preserve">Ganti berpasangan dengan primer</t>
  </si>
  <si>
    <t xml:space="preserve">Fuel tank strainer / cap filter</t>
  </si>
  <si>
    <t xml:space="preserve">INSPEKSI</t>
  </si>
  <si>
    <t xml:space="preserve">Bersihkan; ganti jika sobek</t>
  </si>
  <si>
    <t xml:space="preserve">Semua kelas excavator</t>
  </si>
  <si>
    <t xml:space="preserve">Hydraulic</t>
  </si>
  <si>
    <t xml:space="preserve">Hydraulic return filter</t>
  </si>
  <si>
    <t xml:space="preserve">Wajib tiap 500; jangan ditunda</t>
  </si>
  <si>
    <t xml:space="preserve">Pilot filter</t>
  </si>
  <si>
    <t xml:space="preserve">Pilot clogging = slow attachment</t>
  </si>
  <si>
    <t xml:space="preserve">Excavator ≥ 70 t</t>
  </si>
  <si>
    <t xml:space="preserve">Case drain filter (drain filter pompa)</t>
  </si>
  <si>
    <t xml:space="preserve">Khusus kelas sedang–besar</t>
  </si>
  <si>
    <t xml:space="preserve">Semua kelas HD</t>
  </si>
  <si>
    <t xml:space="preserve">Powertrain</t>
  </si>
  <si>
    <t xml:space="preserve">Transmission oil filter</t>
  </si>
  <si>
    <t xml:space="preserve">set</t>
  </si>
  <si>
    <t xml:space="preserve">Element + O-ring; HD785 qty lebih dari 1</t>
  </si>
  <si>
    <t xml:space="preserve">Steering / hoist filter</t>
  </si>
  <si>
    <t xml:space="preserve">Sering 500–1000 tergantung model</t>
  </si>
  <si>
    <t xml:space="preserve">Semua kelas dozer</t>
  </si>
  <si>
    <t xml:space="preserve">Termasuk filter ripper circuit jika terpisah</t>
  </si>
  <si>
    <t xml:space="preserve">Semua kelas grader</t>
  </si>
  <si>
    <t xml:space="preserve">Hydraulic filter</t>
  </si>
  <si>
    <t xml:space="preserve">Circle + blade circuit</t>
  </si>
  <si>
    <t xml:space="preserve">Air</t>
  </si>
  <si>
    <t xml:space="preserve">Air cleaner outer element</t>
  </si>
  <si>
    <t xml:space="preserve">Bersihkan; ganti jika restriction tinggi</t>
  </si>
  <si>
    <t xml:space="preserve">Cooling</t>
  </si>
  <si>
    <t xml:space="preserve">Coolant SCA test / sample</t>
  </si>
  <si>
    <t xml:space="preserve">SAMPLE</t>
  </si>
  <si>
    <t xml:space="preserve">sample</t>
  </si>
  <si>
    <t xml:space="preserve">Jangan campur coolant sembarangan</t>
  </si>
  <si>
    <t xml:space="preserve">Lubrication</t>
  </si>
  <si>
    <t xml:space="preserve">Grease all points + auto-lube check</t>
  </si>
  <si>
    <t xml:space="preserve">Pin, bushing, bearing, prop shaft</t>
  </si>
  <si>
    <t xml:space="preserve">Oil analysis</t>
  </si>
  <si>
    <t xml:space="preserve">Engine oil sample (KOWA/SOS)</t>
  </si>
  <si>
    <t xml:space="preserve">Wajib dokumentasi lab</t>
  </si>
  <si>
    <t xml:space="preserve">Undercarriage</t>
  </si>
  <si>
    <t xml:space="preserve">Ukur link, roller, idler, sprocket, pad</t>
  </si>
  <si>
    <t xml:space="preserve">Catat mm wear vs limit OEM</t>
  </si>
  <si>
    <t xml:space="preserve">Ukur track / roller / sprocket (crawler)</t>
  </si>
  <si>
    <t xml:space="preserve">Khusus excavator crawler</t>
  </si>
  <si>
    <t xml:space="preserve">Brake</t>
  </si>
  <si>
    <t xml:space="preserve">Cek pad / lining rem depan</t>
  </si>
  <si>
    <t xml:space="preserve">HD785 cek ketebalan pad</t>
  </si>
  <si>
    <t xml:space="preserve">Tire</t>
  </si>
  <si>
    <t xml:space="preserve">Cek tekanan + aus ban OTR</t>
  </si>
  <si>
    <t xml:space="preserve">ban</t>
  </si>
  <si>
    <t xml:space="preserve">Posisi dalam HD sering aus cepat</t>
  </si>
  <si>
    <t xml:space="preserve">Wear</t>
  </si>
  <si>
    <t xml:space="preserve">Moldboard cutting edge &amp; end bit</t>
  </si>
  <si>
    <t xml:space="preserve">Ganti jika aus melewati limit</t>
  </si>
  <si>
    <t xml:space="preserve">Cutting edge / end bit / ripper tip</t>
  </si>
  <si>
    <t xml:space="preserve">Ripper tip sering ganti sebelum 500</t>
  </si>
  <si>
    <t xml:space="preserve">Semua item 500 HM</t>
  </si>
  <si>
    <t xml:space="preserve">paket</t>
  </si>
  <si>
    <t xml:space="preserve">500 termasuk di dalam 1000</t>
  </si>
  <si>
    <t xml:space="preserve">Air cleaner inner + outer element</t>
  </si>
  <si>
    <t xml:space="preserve">Inner jangan dicuci — ganti</t>
  </si>
  <si>
    <t xml:space="preserve">Corrosion resistor / coolant filter</t>
  </si>
  <si>
    <t xml:space="preserve">Jika unit punya cartridge SCA</t>
  </si>
  <si>
    <t xml:space="preserve">Swing</t>
  </si>
  <si>
    <t xml:space="preserve">Swing drive oil + magnetic plug</t>
  </si>
  <si>
    <t xml:space="preserve">Bersihkan serbuk besi di plug</t>
  </si>
  <si>
    <t xml:space="preserve">Travel</t>
  </si>
  <si>
    <t xml:space="preserve">Final drive / travel motor oil (kiri+kanan)</t>
  </si>
  <si>
    <t xml:space="preserve">side</t>
  </si>
  <si>
    <t xml:space="preserve">Ganti kedua sisi bersamaan</t>
  </si>
  <si>
    <t xml:space="preserve">Transmission oil + clean strainer</t>
  </si>
  <si>
    <t xml:space="preserve">TM oil 1000 tipikal Komatsu/CAT</t>
  </si>
  <si>
    <t xml:space="preserve">Steering/hoist tank filter element</t>
  </si>
  <si>
    <t xml:space="preserve">Element + O-ring</t>
  </si>
  <si>
    <t xml:space="preserve">HD ≥ 90 t</t>
  </si>
  <si>
    <t xml:space="preserve">Rear brake cooling filter</t>
  </si>
  <si>
    <t xml:space="preserve">HD785 class</t>
  </si>
  <si>
    <t xml:space="preserve">Transmission / steering oil + filter</t>
  </si>
  <si>
    <t xml:space="preserve">Steering clutch oil jika terpisah</t>
  </si>
  <si>
    <t xml:space="preserve">Final drive oil kiri + kanan</t>
  </si>
  <si>
    <t xml:space="preserve">Cek kebocoran duo-cone seal</t>
  </si>
  <si>
    <t xml:space="preserve">Transmission oil + filter + screen</t>
  </si>
  <si>
    <t xml:space="preserve">Bersihkan magnetic screen</t>
  </si>
  <si>
    <t xml:space="preserve">Implement</t>
  </si>
  <si>
    <t xml:space="preserve">Circle drive oil</t>
  </si>
  <si>
    <t xml:space="preserve">Circle backlash inspeksi</t>
  </si>
  <si>
    <t xml:space="preserve">Tandem drive / wheel lean bearing oil</t>
  </si>
  <si>
    <t xml:space="preserve">Kelas sedang–besar</t>
  </si>
  <si>
    <t xml:space="preserve">Hydraulic + transmission sample</t>
  </si>
  <si>
    <t xml:space="preserve">Putuskan maju/mundur ganti oli 2000</t>
  </si>
  <si>
    <t xml:space="preserve">Turbocharger mounting &amp; play check</t>
  </si>
  <si>
    <t xml:space="preserve">unit</t>
  </si>
  <si>
    <t xml:space="preserve">Longgar = oil leak / shaft play</t>
  </si>
  <si>
    <t xml:space="preserve">Safety</t>
  </si>
  <si>
    <t xml:space="preserve">Hose hidraulik pressure line inspeksi</t>
  </si>
  <si>
    <t xml:space="preserve">Safety critical parts — retak ganti</t>
  </si>
  <si>
    <t xml:space="preserve">Structure</t>
  </si>
  <si>
    <t xml:space="preserve">Boom / arm pin &amp; bushing play</t>
  </si>
  <si>
    <t xml:space="preserve">Ukur gap; rencanakan line-boring</t>
  </si>
  <si>
    <t xml:space="preserve">Rear wet brake disc wear</t>
  </si>
  <si>
    <t xml:space="preserve">Ukur ketebalan disc OEM</t>
  </si>
  <si>
    <t xml:space="preserve">Engine oil + all 500 filters</t>
  </si>
  <si>
    <t xml:space="preserve">1500 = 3×500; oli mesin tetap ganti</t>
  </si>
  <si>
    <t xml:space="preserve">Fuel filter primer + sekunder</t>
  </si>
  <si>
    <t xml:space="preserve">Wajib meski 1000 baru lewat 500 jam</t>
  </si>
  <si>
    <t xml:space="preserve">Hydraulic return / pilot filter</t>
  </si>
  <si>
    <t xml:space="preserve">Jangan skip filter meski oli belum ganti</t>
  </si>
  <si>
    <t xml:space="preserve">Transmission filter (bukan oli TM)</t>
  </si>
  <si>
    <t xml:space="preserve">Filter 500-an; oli TM tetap 1000/2000</t>
  </si>
  <si>
    <t xml:space="preserve">Engine + hydraulic + TM sample</t>
  </si>
  <si>
    <t xml:space="preserve">Keputusan general / percepat OH</t>
  </si>
  <si>
    <t xml:space="preserve">Radiator / oil cooler fin clean + pressure cap</t>
  </si>
  <si>
    <t xml:space="preserve">Site berdebu: cuci tiap 250–500</t>
  </si>
  <si>
    <t xml:space="preserve">Cek case drain flow pompa utama</t>
  </si>
  <si>
    <t xml:space="preserve">test</t>
  </si>
  <si>
    <t xml:space="preserve">Flow tinggi = pompa mulai aus</t>
  </si>
  <si>
    <t xml:space="preserve">Putar / pindah pin &amp; bushing jika perlu</t>
  </si>
  <si>
    <t xml:space="preserve">Turn pin-bush sebelum limit</t>
  </si>
  <si>
    <t xml:space="preserve">Driveline</t>
  </si>
  <si>
    <t xml:space="preserve">Propeller shaft U-joint + slip spline</t>
  </si>
  <si>
    <t xml:space="preserve">Grease + cek play</t>
  </si>
  <si>
    <t xml:space="preserve">Circle wear strip / shoe</t>
  </si>
  <si>
    <t xml:space="preserve">Ganti jika blade floating</t>
  </si>
  <si>
    <t xml:space="preserve">Electrical</t>
  </si>
  <si>
    <t xml:space="preserve">Battery load test + terminal clean</t>
  </si>
  <si>
    <t xml:space="preserve">Starter drop voltage cek</t>
  </si>
  <si>
    <t xml:space="preserve">Semua item 500 + 1000 HM</t>
  </si>
  <si>
    <t xml:space="preserve">2000 mencakup 4×500 dan 2×1000</t>
  </si>
  <si>
    <t xml:space="preserve">Hydraulic oil (oli hidraulik) + suction strainer</t>
  </si>
  <si>
    <t xml:space="preserve">Bisa diperpanjang jika SOS bagus + oil OEM premium</t>
  </si>
  <si>
    <t xml:space="preserve">Hydraulic tank breather</t>
  </si>
  <si>
    <t xml:space="preserve">Breather rusak = oli cepat kotor</t>
  </si>
  <si>
    <t xml:space="preserve">Steering + hoist tank oil</t>
  </si>
  <si>
    <t xml:space="preserve">Komatsu HD: ganti 2000 HM</t>
  </si>
  <si>
    <t xml:space="preserve">Rear brake cooling oil</t>
  </si>
  <si>
    <t xml:space="preserve">HD785 class — jangan campur TM oil</t>
  </si>
  <si>
    <t xml:space="preserve">Differential oil</t>
  </si>
  <si>
    <t xml:space="preserve">Bersihkan breather diff</t>
  </si>
  <si>
    <t xml:space="preserve">Final drive oil (kedua sisi)</t>
  </si>
  <si>
    <t xml:space="preserve">Cek duo-cone; serbuk besi = warning</t>
  </si>
  <si>
    <t xml:space="preserve">Hydraulic oil + filter + strainer</t>
  </si>
  <si>
    <t xml:space="preserve">Blade + ripper circuit</t>
  </si>
  <si>
    <t xml:space="preserve">Final drive oil ulang + cek seal</t>
  </si>
  <si>
    <t xml:space="preserve">Jika SOS metal tinggi → bongkar</t>
  </si>
  <si>
    <t xml:space="preserve">Hydraulic oil + filter</t>
  </si>
  <si>
    <t xml:space="preserve">Termasuk steering</t>
  </si>
  <si>
    <t xml:space="preserve">Coolant flush + refill (jika SCA gagal / 2 thn)</t>
  </si>
  <si>
    <t xml:space="preserve">Atau sesuai coolant long-life OEM</t>
  </si>
  <si>
    <t xml:space="preserve">Valve clearance check / adjust</t>
  </si>
  <si>
    <t xml:space="preserve">Wajib mekanik terlatih</t>
  </si>
  <si>
    <t xml:space="preserve">Turbocharger clean + rotor play</t>
  </si>
  <si>
    <t xml:space="preserve">Play berlebih = ganti turbo</t>
  </si>
  <si>
    <t xml:space="preserve">Alternator &amp; starter motor check</t>
  </si>
  <si>
    <t xml:space="preserve">Brush / bearing</t>
  </si>
  <si>
    <t xml:space="preserve">Hose pressure + clamp safety parts</t>
  </si>
  <si>
    <t xml:space="preserve">Periodic replacement safety parts OEM</t>
  </si>
  <si>
    <t xml:space="preserve">Main pump case drain test + coupling</t>
  </si>
  <si>
    <t xml:space="preserve">Rencanakan pump rebuild jika flow tinggi</t>
  </si>
  <si>
    <t xml:space="preserve">Emergency relay valve clean (jika ada)</t>
  </si>
  <si>
    <t xml:space="preserve">Komatsu HD</t>
  </si>
  <si>
    <t xml:space="preserve">Sprocket / idler / roller decision</t>
  </si>
  <si>
    <t xml:space="preserve">Ganti komponen yang tembus limit</t>
  </si>
  <si>
    <t xml:space="preserve">Cara filter: klik panah di header Interval HM → pilih 500 / 1000 / 1500 / 2000. Filter Jenis alat untuk fokus HD / Dozer / Grader / Excavator. 1500 HM dipakai site sebagai service antara (filter + sample), bukan ganti oli hidraulik.</t>
  </si>
  <si>
    <t xml:space="preserve">MONITORING SERVICE WORKSHOP  —  DUE PER HM</t>
  </si>
  <si>
    <t xml:space="preserve">Kode unit</t>
  </si>
  <si>
    <t xml:space="preserve">Model</t>
  </si>
  <si>
    <t xml:space="preserve">HM sekarang</t>
  </si>
  <si>
    <t xml:space="preserve">Sisa ke 500</t>
  </si>
  <si>
    <t xml:space="preserve">Sisa ke 1000</t>
  </si>
  <si>
    <t xml:space="preserve">Sisa ke 1500</t>
  </si>
  <si>
    <t xml:space="preserve">Sisa ke 2000</t>
  </si>
  <si>
    <t xml:space="preserve">Service terdekat</t>
  </si>
  <si>
    <t xml:space="preserve">Status</t>
  </si>
  <si>
    <t xml:space="preserve">Lokasi</t>
  </si>
  <si>
    <t xml:space="preserve">Catatan plant</t>
  </si>
  <si>
    <t xml:space="preserve">EX-01</t>
  </si>
  <si>
    <t xml:space="preserve">Komatsu PC400LC-8</t>
  </si>
  <si>
    <t xml:space="preserve">Front Coal</t>
  </si>
  <si>
    <t xml:space="preserve">Coal getting</t>
  </si>
  <si>
    <t xml:space="preserve">EX-02</t>
  </si>
  <si>
    <t xml:space="preserve">EX-03</t>
  </si>
  <si>
    <t xml:space="preserve">Sany SY750H</t>
  </si>
  <si>
    <t xml:space="preserve">Front OB-1</t>
  </si>
  <si>
    <t xml:space="preserve">EX-04</t>
  </si>
  <si>
    <t xml:space="preserve">Komatsu PC800-8</t>
  </si>
  <si>
    <t xml:space="preserve">Workshop</t>
  </si>
  <si>
    <t xml:space="preserve">Masuk PM-B</t>
  </si>
  <si>
    <t xml:space="preserve">EX-05</t>
  </si>
  <si>
    <t xml:space="preserve">Hitachi EX1200-7</t>
  </si>
  <si>
    <t xml:space="preserve">Front OB-2</t>
  </si>
  <si>
    <t xml:space="preserve">EX-06</t>
  </si>
  <si>
    <t xml:space="preserve">Komatsu PC1250-11</t>
  </si>
  <si>
    <t xml:space="preserve">BD final drive</t>
  </si>
  <si>
    <t xml:space="preserve">DT-01</t>
  </si>
  <si>
    <t xml:space="preserve">Komatsu HD785-7</t>
  </si>
  <si>
    <t xml:space="preserve">DT-02</t>
  </si>
  <si>
    <t xml:space="preserve">DT-03</t>
  </si>
  <si>
    <t xml:space="preserve">DT-04</t>
  </si>
  <si>
    <t xml:space="preserve">Mendekati 2000</t>
  </si>
  <si>
    <t xml:space="preserve">DT-05</t>
  </si>
  <si>
    <t xml:space="preserve">Parkir</t>
  </si>
  <si>
    <t xml:space="preserve">Ban aus</t>
  </si>
  <si>
    <t xml:space="preserve">DT-06</t>
  </si>
  <si>
    <t xml:space="preserve">Sany SKT90S</t>
  </si>
  <si>
    <t xml:space="preserve">DT-07</t>
  </si>
  <si>
    <t xml:space="preserve">DT-08</t>
  </si>
  <si>
    <t xml:space="preserve">Hino FM 260 TI</t>
  </si>
  <si>
    <t xml:space="preserve">DT-09</t>
  </si>
  <si>
    <t xml:space="preserve">DT-10</t>
  </si>
  <si>
    <t xml:space="preserve">Waiting injector</t>
  </si>
  <si>
    <t xml:space="preserve">DZ-01</t>
  </si>
  <si>
    <t xml:space="preserve">Komatsu D155A-6</t>
  </si>
  <si>
    <t xml:space="preserve">Disposal</t>
  </si>
  <si>
    <t xml:space="preserve">DZ-02</t>
  </si>
  <si>
    <t xml:space="preserve">Komatsu D85ESS-2</t>
  </si>
  <si>
    <t xml:space="preserve">Haul road</t>
  </si>
  <si>
    <t xml:space="preserve">DZ-03</t>
  </si>
  <si>
    <t xml:space="preserve">Komatsu D375A-6</t>
  </si>
  <si>
    <t xml:space="preserve">Ripping</t>
  </si>
  <si>
    <t xml:space="preserve">GR-01</t>
  </si>
  <si>
    <t xml:space="preserve">Komatsu GD825A-2</t>
  </si>
  <si>
    <t xml:space="preserve">GR-02</t>
  </si>
  <si>
    <t xml:space="preserve">Komatsu GD705-5</t>
  </si>
  <si>
    <t xml:space="preserve">WL-01</t>
  </si>
  <si>
    <t xml:space="preserve">Kawasaki 90ZV</t>
  </si>
  <si>
    <t xml:space="preserve">ROM</t>
  </si>
  <si>
    <t xml:space="preserve">WT-01</t>
  </si>
  <si>
    <t xml:space="preserve">Hino 500 tangki 16 kL</t>
  </si>
  <si>
    <t xml:space="preserve">Water truck</t>
  </si>
  <si>
    <t xml:space="preserve">URGENT (≤50 HM)</t>
  </si>
  <si>
    <t xml:space="preserve">DUE minggu ini (≤150 HM)</t>
  </si>
  <si>
    <t xml:space="preserve">PM-500 terdekat</t>
  </si>
  <si>
    <t xml:space="preserve">PM-1000</t>
  </si>
  <si>
    <t xml:space="preserve">PM-1500</t>
  </si>
  <si>
    <t xml:space="preserve">PM-2000</t>
  </si>
  <si>
    <t xml:space="preserve">WORK ORDER SERVICE WORKSHOP</t>
  </si>
  <si>
    <t xml:space="preserve">Isi 1 baris per WO. Centang part terpasang. Ambil daftar part dari 03_PART_SERVICE sesuai interval.</t>
  </si>
  <si>
    <t xml:space="preserve">No WO</t>
  </si>
  <si>
    <t xml:space="preserve">Tanggal</t>
  </si>
  <si>
    <t xml:space="preserve">Interval</t>
  </si>
  <si>
    <t xml:space="preserve">HM saat service</t>
  </si>
  <si>
    <t xml:space="preserve">Mekanik</t>
  </si>
  <si>
    <t xml:space="preserve">Status WO</t>
  </si>
  <si>
    <t xml:space="preserve">Part utama terpasang</t>
  </si>
  <si>
    <t xml:space="preserve">Jam kerja WO</t>
  </si>
  <si>
    <t xml:space="preserve">Keterangan / temuan</t>
  </si>
  <si>
    <t xml:space="preserve">WO-260908-01</t>
  </si>
  <si>
    <t xml:space="preserve">PM-500</t>
  </si>
  <si>
    <t xml:space="preserve">Andi</t>
  </si>
  <si>
    <t xml:space="preserve">ON PROGRESS</t>
  </si>
  <si>
    <t xml:space="preserve">Oli mesin + filter oli + fuel filter + hyd return + pilot</t>
  </si>
  <si>
    <t xml:space="preserve">PM-B 500; cek hose boom</t>
  </si>
  <si>
    <t xml:space="preserve">WO-260908-02</t>
  </si>
  <si>
    <t xml:space="preserve">Budi</t>
  </si>
  <si>
    <t xml:space="preserve">PART READY</t>
  </si>
  <si>
    <t xml:space="preserve">Oli mesin, TM oil, hyd steering/hoist, diff, final drive, brake cooling</t>
  </si>
  <si>
    <t xml:space="preserve">Siapkan bay HD besar</t>
  </si>
  <si>
    <t xml:space="preserve">WO-260908-03</t>
  </si>
  <si>
    <t xml:space="preserve">Cahyo</t>
  </si>
  <si>
    <t xml:space="preserve">OPEN</t>
  </si>
  <si>
    <t xml:space="preserve">Oli mesin, hyd filter, TM oil, circle drive</t>
  </si>
  <si>
    <t xml:space="preserve">Circle backlash cek</t>
  </si>
  <si>
    <t xml:space="preserve">WO-260908-04</t>
  </si>
  <si>
    <t xml:space="preserve">Dedi</t>
  </si>
  <si>
    <t xml:space="preserve">Oli mesin + filter 500 + sample oli</t>
  </si>
  <si>
    <t xml:space="preserve">Ukur UC</t>
  </si>
  <si>
    <t xml:space="preserve">WO-260908-05</t>
  </si>
  <si>
    <t xml:space="preserve">UNSCHEDULED</t>
  </si>
  <si>
    <t xml:space="preserve">Eko</t>
  </si>
  <si>
    <t xml:space="preserve">WAIT PART</t>
  </si>
  <si>
    <t xml:space="preserve">Final drive PC1250 RH</t>
  </si>
  <si>
    <t xml:space="preserve">Menunggu core + unit exchange</t>
  </si>
  <si>
    <t xml:space="preserve">CHECKLIST PAKET PART  (centang saat pasang)</t>
  </si>
  <si>
    <t xml:space="preserve">Paket part yang harus siap di rak sebelum unit masuk bay</t>
  </si>
  <si>
    <t xml:space="preserve">Oli mesin, oil filter, bypass filter, fuel primer, fuel sekunder, hyd return, pilot, grease, sample oli mesin</t>
  </si>
  <si>
    <t xml:space="preserve">Paket 500 + air cleaner in/out, corrosion resistor, swing/final/TM oil, hyd sample, turbo cek, hose cek</t>
  </si>
  <si>
    <t xml:space="preserve">Paket 500 (oli+filter) + sample 3 kompartemen + radiator clean + driveline cek</t>
  </si>
  <si>
    <t xml:space="preserve">Paket 1000 + oli hidraulik, oli diff/final, brake cooling (HD), coolant flush bila perlu, valve lash, turbo play</t>
  </si>
  <si>
    <t xml:space="preserve">GENERAL</t>
  </si>
  <si>
    <t xml:space="preserve">Lihat sheet 06_GENERAL_OH — pump, engine top/major, final drive, TM, undercarriage, radiator</t>
  </si>
  <si>
    <t xml:space="preserve">GENERAL OVERHAUL  —  KOMPONEN WAJIB DINILAI / DIGANTI</t>
  </si>
  <si>
    <t xml:space="preserve">Bukan ganti semua otomatis. Keputusan berdasarkan HM + gejala + oil analysis + measured wear. Angka HM = tipikal site tambang, bukan garansi pabrik.</t>
  </si>
  <si>
    <t xml:space="preserve">Komponen</t>
  </si>
  <si>
    <t xml:space="preserve">HM tipikal OH</t>
  </si>
  <si>
    <t xml:space="preserve">Yang biasanya diganti / rebuild</t>
  </si>
  <si>
    <t xml:space="preserve">Sisa part yang diinspeksi</t>
  </si>
  <si>
    <t xml:space="preserve">Gejala tarik ke workshop</t>
  </si>
  <si>
    <t xml:space="preserve">Lead time part (hari)</t>
  </si>
  <si>
    <t xml:space="preserve">Engine — top overhaul</t>
  </si>
  <si>
    <t xml:space="preserve">6.000–8.000</t>
  </si>
  <si>
    <t xml:space="preserve">Packing set, valve seal, injector nozzle (jika tes buruk), thermostat</t>
  </si>
  <si>
    <t xml:space="preserve">Head crack test, liner step, turbo</t>
  </si>
  <si>
    <t xml:space="preserve">Asap biru, oli makan, kompresi rendah</t>
  </si>
  <si>
    <t xml:space="preserve">Engine — major overhaul</t>
  </si>
  <si>
    <t xml:space="preserve">10.000–14.000</t>
  </si>
  <si>
    <t xml:space="preserve">Piston+liner kit, bearing set, gasket kit, oil pump, injector set, water pump</t>
  </si>
  <si>
    <t xml:space="preserve">Crank grind, block crack, cam</t>
  </si>
  <si>
    <t xml:space="preserve">Knocking, metal di filter, SOS Fe/Pb tinggi</t>
  </si>
  <si>
    <t xml:space="preserve">Main hydraulic pump</t>
  </si>
  <si>
    <t xml:space="preserve">6.000–10.000</t>
  </si>
  <si>
    <t xml:space="preserve">Rotating kit / pump exchange, shaft seal</t>
  </si>
  <si>
    <t xml:space="preserve">Regulator, related hose</t>
  </si>
  <si>
    <t xml:space="preserve">Cycle time lambat, case drain tinggi, panas</t>
  </si>
  <si>
    <t xml:space="preserve">Swing motor + swing gearbox</t>
  </si>
  <si>
    <t xml:space="preserve">8.000–12.000</t>
  </si>
  <si>
    <t xml:space="preserve">Seal kit, bearing, oil, pinion jika aus</t>
  </si>
  <si>
    <t xml:space="preserve">Swing bearing / slewing</t>
  </si>
  <si>
    <t xml:space="preserve">Swing berat, bunyi, oli swing hitam metal</t>
  </si>
  <si>
    <t xml:space="preserve">Travel motor + final drive</t>
  </si>
  <si>
    <t xml:space="preserve">Duo-cone seal, bearing, gear set jika pitting</t>
  </si>
  <si>
    <t xml:space="preserve">Sprocket hub</t>
  </si>
  <si>
    <t xml:space="preserve">Travel lemah satu sisi, oli final milky/metal</t>
  </si>
  <si>
    <t xml:space="preserve">Slewing / swing bearing</t>
  </si>
  <si>
    <t xml:space="preserve">10.000–16.000</t>
  </si>
  <si>
    <t xml:space="preserve">Bearing assembly + bolt set OEM torque</t>
  </si>
  <si>
    <t xml:space="preserve">Upper structure level</t>
  </si>
  <si>
    <t xml:space="preserve">Play atas-bawah, grease keluar serbuk</t>
  </si>
  <si>
    <t xml:space="preserve">Boom / arm cylinder</t>
  </si>
  <si>
    <t xml:space="preserve">Seal kit, rod chrome jika scored</t>
  </si>
  <si>
    <t xml:space="preserve">Tube dent</t>
  </si>
  <si>
    <t xml:space="preserve">Drop attachment, oli luar di rod</t>
  </si>
  <si>
    <t xml:space="preserve">Transmission + torque converter</t>
  </si>
  <si>
    <t xml:space="preserve">Clutch pack, seal, filter, TC rebuild</t>
  </si>
  <si>
    <t xml:space="preserve">Control valve</t>
  </si>
  <si>
    <t xml:space="preserve">Slip, shift shock, SOS TM buruk</t>
  </si>
  <si>
    <t xml:space="preserve">Differential</t>
  </si>
  <si>
    <t xml:space="preserve">Bearing, seal, gear jika pitting</t>
  </si>
  <si>
    <t xml:space="preserve">Housing crack</t>
  </si>
  <si>
    <t xml:space="preserve">Guruh di differential, metal di oli</t>
  </si>
  <si>
    <t xml:space="preserve">Final drive / spindle</t>
  </si>
  <si>
    <t xml:space="preserve">Duo-cone, bearing, sun/planet gear</t>
  </si>
  <si>
    <t xml:space="preserve">Hub, axle</t>
  </si>
  <si>
    <t xml:space="preserve">Oil leak wheel, play roda, panas hub</t>
  </si>
  <si>
    <t xml:space="preserve">Suspension cylinder (front/rear)</t>
  </si>
  <si>
    <t xml:space="preserve">Seal kit / exchange cylinder</t>
  </si>
  <si>
    <t xml:space="preserve">Nitrogen charge</t>
  </si>
  <si>
    <t xml:space="preserve">Unit oleng, sit height tidak sama</t>
  </si>
  <si>
    <t xml:space="preserve">Hoist cylinder</t>
  </si>
  <si>
    <t xml:space="preserve">Seal kit, rod polish/chrome</t>
  </si>
  <si>
    <t xml:space="preserve">Pivot pin</t>
  </si>
  <si>
    <t xml:space="preserve">Body turun sendiri, oli basah di rod</t>
  </si>
  <si>
    <t xml:space="preserve">Brake disc / pack (wet brake)</t>
  </si>
  <si>
    <t xml:space="preserve">Disc + separator plate sesuai wear limit</t>
  </si>
  <si>
    <t xml:space="preserve">Piston seal</t>
  </si>
  <si>
    <t xml:space="preserve">Stopping distance panjang, panas rem</t>
  </si>
  <si>
    <t xml:space="preserve">Final drive</t>
  </si>
  <si>
    <t xml:space="preserve">Duo-cone, bearing, gear</t>
  </si>
  <si>
    <t xml:space="preserve">Sprocket segment</t>
  </si>
  <si>
    <t xml:space="preserve">Oil leak, travel noise</t>
  </si>
  <si>
    <t xml:space="preserve">Steering clutch / differential steer</t>
  </si>
  <si>
    <t xml:space="preserve">Disc pack, seal</t>
  </si>
  <si>
    <t xml:space="preserve">Steering berat / tidak lurus</t>
  </si>
  <si>
    <t xml:space="preserve">Undercarriage complete</t>
  </si>
  <si>
    <t xml:space="preserve">4.000–8.000</t>
  </si>
  <si>
    <t xml:space="preserve">Link, roller, idler, sprocket, pad (paket atau parsial)</t>
  </si>
  <si>
    <t xml:space="preserve">Track frame</t>
  </si>
  <si>
    <t xml:space="preserve">Pitch memanjang, roller flat, throw chain</t>
  </si>
  <si>
    <t xml:space="preserve">Blade / ripper cylinder + pin bushing</t>
  </si>
  <si>
    <t xml:space="preserve">Seal kit, pin &amp; bushing set</t>
  </si>
  <si>
    <t xml:space="preserve">Blade crack</t>
  </si>
  <si>
    <t xml:space="preserve">Play blade, silinder drop</t>
  </si>
  <si>
    <t xml:space="preserve">Circle turner + wear strip</t>
  </si>
  <si>
    <t xml:space="preserve">Wear strip, pinion, bearing</t>
  </si>
  <si>
    <t xml:space="preserve">Circle structure</t>
  </si>
  <si>
    <t xml:space="preserve">Blade floating, backlash besar</t>
  </si>
  <si>
    <t xml:space="preserve">Tandem drive / wheel lean</t>
  </si>
  <si>
    <t xml:space="preserve">Bearing, seal, chain/gear</t>
  </si>
  <si>
    <t xml:space="preserve">Housing</t>
  </si>
  <si>
    <t xml:space="preserve">Noise tandem, oil leak</t>
  </si>
  <si>
    <t xml:space="preserve">Articulation + oscillating pivot</t>
  </si>
  <si>
    <t xml:space="preserve">Pin bushing, seal</t>
  </si>
  <si>
    <t xml:space="preserve">Frame crack check</t>
  </si>
  <si>
    <t xml:space="preserve">Play sendi, steering tidak presisi</t>
  </si>
  <si>
    <t xml:space="preserve">Radiator + oil cooler</t>
  </si>
  <si>
    <t xml:space="preserve">Core clean/exchange, cap, hose set</t>
  </si>
  <si>
    <t xml:space="preserve">Fan clutch / viscous</t>
  </si>
  <si>
    <t xml:space="preserve">Overheat berulang setelah cuci</t>
  </si>
  <si>
    <t xml:space="preserve">Alternator / starter</t>
  </si>
  <si>
    <t xml:space="preserve">Exchange unit</t>
  </si>
  <si>
    <t xml:space="preserve">Wiring, battery</t>
  </si>
  <si>
    <t xml:space="preserve">Slow crank, charging rendah</t>
  </si>
  <si>
    <t xml:space="preserve">Hydraulic hose high-pressure set</t>
  </si>
  <si>
    <t xml:space="preserve">4.000–6.000</t>
  </si>
  <si>
    <t xml:space="preserve">Hose assembly pressure line (safety parts)</t>
  </si>
  <si>
    <t xml:space="preserve">Fitting, clamp</t>
  </si>
  <si>
    <t xml:space="preserve">Retak karet, rembes coupling</t>
  </si>
  <si>
    <t xml:space="preserve">Cab filter / HVAC / pressuriser</t>
  </si>
  <si>
    <t xml:space="preserve">1.000–2.000 / 15.000 blower</t>
  </si>
  <si>
    <t xml:space="preserve">HEPA / recirc filter; blower sesuai OEM</t>
  </si>
  <si>
    <t xml:space="preserve">Seal kabin</t>
  </si>
  <si>
    <t xml:space="preserve">Debu masuk kabin, blower lemah</t>
  </si>
  <si>
    <t xml:space="preserve">Safety critical parts (OEM list)</t>
  </si>
  <si>
    <t xml:space="preserve">2.000–4.000 sesuai OMM</t>
  </si>
  <si>
    <t xml:space="preserve">Seat belt, emergency steering hose, brake hose, steering hose</t>
  </si>
  <si>
    <t xml:space="preserve">Mounting</t>
  </si>
  <si>
    <t xml:space="preserve">Wajib ganti berkala meski kelihatan bagus</t>
  </si>
  <si>
    <t xml:space="preserve">Urutan keputusan General OH: (1) HM mendekati rentang tipikal → (2) oil analysis metal/viskositas → (3) tes performa (cycle time, case drain, kompresi) → (4) bongkar ukur → (5) rebuild atau exchange. Jangan OH hanya karena kalender jika SOS dan performa masih bagus. Sebaliknya, unit 4.000 HM dengan SOS Fe tinggi + duo-cone bocor harus ditarik meski belum 'umur OH'.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</si>
</sst>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dd\-mmm\-yyyy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B2E4A"/>
      <name val="Calibri"/>
      <family val="0"/>
      <charset val="1"/>
    </font>
    <font>
      <i val="true"/>
      <sz val="11"/>
      <color rgb="FFC45C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B2E4A"/>
      <name val="Calibri"/>
      <family val="0"/>
      <charset val="1"/>
    </font>
    <font>
      <sz val="10"/>
      <color rgb="FF0000FF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8"/>
      <color rgb="FF4A4A4A"/>
      <name val="Calibri"/>
      <family val="0"/>
      <charset val="1"/>
    </font>
    <font>
      <b val="true"/>
      <sz val="16"/>
      <color rgb="FF0B2E4A"/>
      <name val="Calibri"/>
      <family val="0"/>
      <charset val="1"/>
    </font>
    <font>
      <sz val="10"/>
      <color rgb="FF0E6B6B"/>
      <name val="Calibri"/>
      <family val="0"/>
      <charset val="1"/>
    </font>
    <font>
      <b val="true"/>
      <sz val="9"/>
      <color rgb="FF0B2E4A"/>
      <name val="Calibri"/>
      <family val="0"/>
      <charset val="1"/>
    </font>
    <font>
      <b val="true"/>
      <sz val="9"/>
      <color rgb="FF0E6B6B"/>
      <name val="Calibri"/>
      <family val="0"/>
      <charset val="1"/>
    </font>
    <font>
      <sz val="8"/>
      <color rgb="FFAAAAAA"/>
      <name val="Calibri"/>
      <family val="0"/>
      <charset val="1"/>
    </font>
    <font>
      <b val="true"/>
      <sz val="14"/>
      <color rgb="FFC45C12"/>
      <name val="Calibri"/>
      <family val="0"/>
      <charset val="1"/>
    </font>
    <font>
      <b val="true"/>
      <sz val="9"/>
      <color rgb="FFC45C12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2E4A"/>
        <bgColor rgb="FF1A1A1A"/>
      </patternFill>
    </fill>
    <fill>
      <patternFill patternType="solid">
        <fgColor rgb="FFC45C12"/>
        <bgColor rgb="FFB42318"/>
      </patternFill>
    </fill>
    <fill>
      <patternFill patternType="solid">
        <fgColor rgb="FFFFF3BF"/>
        <bgColor rgb="FFFDE7C7"/>
      </patternFill>
    </fill>
    <fill>
      <patternFill patternType="solid">
        <fgColor rgb="FFFFF6EB"/>
        <bgColor rgb="FFFFFFFF"/>
      </patternFill>
    </fill>
    <fill>
      <patternFill patternType="solid">
        <fgColor rgb="FFEEF3F7"/>
        <bgColor rgb="FFE8F0F7"/>
      </patternFill>
    </fill>
    <fill>
      <patternFill patternType="solid">
        <fgColor rgb="FFFFFFFF"/>
        <bgColor rgb="FFFFF6EB"/>
      </patternFill>
    </fill>
    <fill>
      <patternFill patternType="solid">
        <fgColor rgb="FFD6EAF0"/>
        <bgColor rgb="FFD8F0E0"/>
      </patternFill>
    </fill>
    <fill>
      <patternFill patternType="solid">
        <fgColor rgb="FFFDE7C7"/>
        <bgColor rgb="FFFFF3BF"/>
      </patternFill>
    </fill>
    <fill>
      <patternFill patternType="solid">
        <fgColor rgb="FFD8F0E0"/>
        <bgColor rgb="FFD6EAF0"/>
      </patternFill>
    </fill>
    <fill>
      <patternFill patternType="solid">
        <fgColor rgb="FFE8D5F0"/>
        <bgColor rgb="FFF8D0CC"/>
      </patternFill>
    </fill>
    <fill>
      <patternFill patternType="solid">
        <fgColor rgb="FFE8F0F7"/>
        <bgColor rgb="FFEEF3F7"/>
      </patternFill>
    </fill>
    <fill>
      <patternFill patternType="solid">
        <fgColor rgb="FFF8D0CC"/>
        <bgColor rgb="FFE8D5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DD6"/>
      </left>
      <right style="thin">
        <color rgb="FFC5CDD6"/>
      </right>
      <top style="thin">
        <color rgb="FFC5CDD6"/>
      </top>
      <bottom style="thin">
        <color rgb="FFC5CDD6"/>
      </bottom>
      <diagonal/>
    </border>
    <border diagonalUp="false" diagonalDown="false">
      <left style="thin">
        <color rgb="FFC5CDD6"/>
      </left>
      <right/>
      <top style="thin">
        <color rgb="FFC5CDD6"/>
      </top>
      <bottom style="thin">
        <color rgb="FFC5C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0B2E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D6EAF0"/>
          <bgColor rgb="FF000000"/>
        </patternFill>
      </fill>
    </dxf>
    <dxf>
      <fill>
        <patternFill patternType="solid">
          <fgColor rgb="FFD8F0E0"/>
          <bgColor rgb="FF000000"/>
        </patternFill>
      </fill>
    </dxf>
    <dxf>
      <fill>
        <patternFill patternType="solid">
          <fgColor rgb="FFE8D5F0"/>
          <bgColor rgb="FF000000"/>
        </patternFill>
      </fill>
    </dxf>
    <dxf>
      <fill>
        <patternFill patternType="solid">
          <fgColor rgb="FFEEF3F7"/>
          <bgColor rgb="FF000000"/>
        </patternFill>
      </fill>
    </dxf>
    <dxf>
      <fill>
        <patternFill patternType="solid">
          <fgColor rgb="FFFDE7C7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3BF"/>
          <bgColor rgb="FF000000"/>
        </patternFill>
      </fill>
    </dxf>
    <dxf>
      <fill>
        <patternFill patternType="solid">
          <fgColor rgb="FFF8D0CC"/>
          <bgColor rgb="FF000000"/>
        </patternFill>
      </fill>
    </dxf>
    <dxf>
      <fill>
        <patternFill patternType="solid">
          <fgColor rgb="FFE8F0F7"/>
          <bgColor rgb="FF000000"/>
        </patternFill>
      </fill>
    </dxf>
    <dxf>
      <fill>
        <patternFill patternType="solid">
          <fgColor rgb="FF0E6B6B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C45C12"/>
          <bgColor rgb="FF000000"/>
        </patternFill>
      </fill>
    </dxf>
    <dxf>
      <font>
        <name val="Calibri"/>
        <charset val="1"/>
        <family val="0"/>
        <b val="1"/>
        <color rgb="FFB42318"/>
        <sz val="9"/>
      </font>
      <fill>
        <patternFill>
          <bgColor rgb="FFF8D0CC"/>
        </patternFill>
      </fill>
    </dxf>
    <dxf>
      <font>
        <name val="Calibri"/>
        <charset val="1"/>
        <family val="0"/>
        <b val="1"/>
        <color rgb="FFC45C12"/>
        <sz val="9"/>
      </font>
      <fill>
        <patternFill>
          <bgColor rgb="FFFDE7C7"/>
        </patternFill>
      </fill>
    </dxf>
    <dxf>
      <font>
        <name val="Calibri"/>
        <charset val="1"/>
        <family val="0"/>
        <b val="1"/>
        <color rgb="FF1F7A4D"/>
        <sz val="9"/>
      </font>
      <fill>
        <patternFill>
          <bgColor rgb="FFD8F0E0"/>
        </patternFill>
      </fill>
    </dxf>
    <dxf>
      <fill>
        <patternFill patternType="solid">
          <fgColor rgb="FF4A4A4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B6B"/>
      <rgbColor rgb="FFC5CDD6"/>
      <rgbColor rgb="FF808080"/>
      <rgbColor rgb="FF9999FF"/>
      <rgbColor rgb="FF993366"/>
      <rgbColor rgb="FFFFF3BF"/>
      <rgbColor rgb="FFD6EAF0"/>
      <rgbColor rgb="FF660066"/>
      <rgbColor rgb="FFFF8080"/>
      <rgbColor rgb="FF0066CC"/>
      <rgbColor rgb="FFE8D5F0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E8F0F7"/>
      <rgbColor rgb="FFD8F0E0"/>
      <rgbColor rgb="FFFDE7C7"/>
      <rgbColor rgb="FFEEF3F7"/>
      <rgbColor rgb="FFFFF6EB"/>
      <rgbColor rgb="FFCC99FF"/>
      <rgbColor rgb="FFF8D0CC"/>
      <rgbColor rgb="FF3366FF"/>
      <rgbColor rgb="FF33CCCC"/>
      <rgbColor rgb="FF99CC00"/>
      <rgbColor rgb="FFFFCC00"/>
      <rgbColor rgb="FFFF9900"/>
      <rgbColor rgb="FFC45C12"/>
      <rgbColor rgb="FF666699"/>
      <rgbColor rgb="FFAAAAAA"/>
      <rgbColor rgb="FF0B2E4A"/>
      <rgbColor rgb="FF339966"/>
      <rgbColor rgb="FF003300"/>
      <rgbColor rgb="FF1A1A1A"/>
      <rgbColor rgb="FFB42318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8" min="7" style="0" width="16"/>
    <col collapsed="false" customWidth="true" hidden="false" outlineLevel="0" max="9" min="9" style="0" width="28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/>
      <c r="E5" s="3"/>
      <c r="G5" s="4" t="s">
        <v>3</v>
      </c>
      <c r="H5" s="4"/>
      <c r="I5" s="4"/>
    </row>
    <row r="6" customFormat="false" ht="15" hidden="false" customHeight="true" outlineLevel="0" collapsed="false">
      <c r="B6" s="5" t="s">
        <v>4</v>
      </c>
      <c r="C6" s="6" t="s">
        <v>5</v>
      </c>
      <c r="D6" s="6"/>
      <c r="E6" s="6"/>
      <c r="G6" s="7" t="s">
        <v>6</v>
      </c>
      <c r="H6" s="7"/>
      <c r="I6" s="7"/>
    </row>
    <row r="7" customFormat="false" ht="15" hidden="false" customHeight="true" outlineLevel="0" collapsed="false">
      <c r="B7" s="5" t="s">
        <v>7</v>
      </c>
      <c r="C7" s="6" t="s">
        <v>8</v>
      </c>
      <c r="D7" s="6"/>
      <c r="E7" s="6"/>
      <c r="G7" s="7"/>
      <c r="H7" s="7"/>
      <c r="I7" s="7"/>
    </row>
    <row r="8" customFormat="false" ht="15" hidden="false" customHeight="true" outlineLevel="0" collapsed="false">
      <c r="B8" s="5" t="s">
        <v>9</v>
      </c>
      <c r="C8" s="6" t="s">
        <v>10</v>
      </c>
      <c r="D8" s="6"/>
      <c r="E8" s="6"/>
      <c r="G8" s="7"/>
      <c r="H8" s="7"/>
      <c r="I8" s="7"/>
    </row>
    <row r="9" customFormat="false" ht="15" hidden="false" customHeight="true" outlineLevel="0" collapsed="false">
      <c r="B9" s="5" t="s">
        <v>11</v>
      </c>
      <c r="C9" s="6" t="s">
        <v>12</v>
      </c>
      <c r="D9" s="6"/>
      <c r="E9" s="6"/>
      <c r="G9" s="7"/>
      <c r="H9" s="7"/>
      <c r="I9" s="7"/>
    </row>
    <row r="10" customFormat="false" ht="15" hidden="false" customHeight="true" outlineLevel="0" collapsed="false">
      <c r="B10" s="5" t="s">
        <v>13</v>
      </c>
      <c r="C10" s="6" t="s">
        <v>14</v>
      </c>
      <c r="D10" s="6"/>
      <c r="E10" s="6"/>
      <c r="G10" s="7"/>
      <c r="H10" s="7"/>
      <c r="I10" s="7"/>
    </row>
    <row r="11" customFormat="false" ht="15" hidden="false" customHeight="true" outlineLevel="0" collapsed="false">
      <c r="B11" s="5" t="s">
        <v>15</v>
      </c>
      <c r="C11" s="6" t="s">
        <v>16</v>
      </c>
      <c r="D11" s="6"/>
      <c r="E11" s="6"/>
      <c r="G11" s="7"/>
      <c r="H11" s="7"/>
      <c r="I11" s="7"/>
    </row>
    <row r="12" customFormat="false" ht="15" hidden="false" customHeight="false" outlineLevel="0" collapsed="false">
      <c r="G12" s="7"/>
      <c r="H12" s="7"/>
      <c r="I12" s="7"/>
    </row>
    <row r="13" customFormat="false" ht="15" hidden="false" customHeight="false" outlineLevel="0" collapsed="false">
      <c r="B13" s="3" t="s">
        <v>17</v>
      </c>
      <c r="C13" s="3"/>
      <c r="D13" s="3"/>
      <c r="E13" s="3"/>
    </row>
    <row r="14" customFormat="false" ht="15" hidden="false" customHeight="true" outlineLevel="0" collapsed="false">
      <c r="B14" s="8" t="s">
        <v>18</v>
      </c>
      <c r="C14" s="8" t="s">
        <v>19</v>
      </c>
      <c r="D14" s="8"/>
      <c r="E14" s="8"/>
    </row>
    <row r="15" customFormat="false" ht="15" hidden="false" customHeight="true" outlineLevel="0" collapsed="false">
      <c r="B15" s="5" t="s">
        <v>20</v>
      </c>
      <c r="C15" s="9" t="s">
        <v>21</v>
      </c>
      <c r="D15" s="9"/>
      <c r="E15" s="9"/>
    </row>
    <row r="16" customFormat="false" ht="15" hidden="false" customHeight="true" outlineLevel="0" collapsed="false">
      <c r="B16" s="10" t="s">
        <v>22</v>
      </c>
      <c r="C16" s="11" t="s">
        <v>23</v>
      </c>
      <c r="D16" s="11"/>
      <c r="E16" s="11"/>
    </row>
    <row r="17" customFormat="false" ht="15" hidden="false" customHeight="true" outlineLevel="0" collapsed="false">
      <c r="B17" s="5" t="s">
        <v>24</v>
      </c>
      <c r="C17" s="9" t="s">
        <v>25</v>
      </c>
      <c r="D17" s="9"/>
      <c r="E17" s="9"/>
    </row>
    <row r="18" customFormat="false" ht="15" hidden="false" customHeight="true" outlineLevel="0" collapsed="false">
      <c r="B18" s="10" t="s">
        <v>26</v>
      </c>
      <c r="C18" s="11" t="s">
        <v>27</v>
      </c>
      <c r="D18" s="11"/>
      <c r="E18" s="11"/>
    </row>
    <row r="19" customFormat="false" ht="15" hidden="false" customHeight="true" outlineLevel="0" collapsed="false">
      <c r="B19" s="5" t="s">
        <v>28</v>
      </c>
      <c r="C19" s="9" t="s">
        <v>29</v>
      </c>
      <c r="D19" s="9"/>
      <c r="E19" s="9"/>
    </row>
    <row r="20" customFormat="false" ht="15" hidden="false" customHeight="true" outlineLevel="0" collapsed="false">
      <c r="B20" s="10" t="s">
        <v>30</v>
      </c>
      <c r="C20" s="11" t="s">
        <v>31</v>
      </c>
      <c r="D20" s="11"/>
      <c r="E20" s="11"/>
    </row>
    <row r="22" customFormat="false" ht="15" hidden="false" customHeight="true" outlineLevel="0" collapsed="false">
      <c r="B22" s="12" t="s">
        <v>32</v>
      </c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B23" s="12"/>
      <c r="C23" s="12"/>
      <c r="D23" s="12"/>
      <c r="E23" s="12"/>
      <c r="F23" s="12"/>
      <c r="G23" s="12"/>
      <c r="H23" s="12"/>
      <c r="I23" s="12"/>
    </row>
  </sheetData>
  <mergeCells count="20">
    <mergeCell ref="B2:I2"/>
    <mergeCell ref="B3:I3"/>
    <mergeCell ref="B5:E5"/>
    <mergeCell ref="G5:I5"/>
    <mergeCell ref="C6:E6"/>
    <mergeCell ref="G6:I12"/>
    <mergeCell ref="C7:E7"/>
    <mergeCell ref="C8:E8"/>
    <mergeCell ref="C9:E9"/>
    <mergeCell ref="C10:E10"/>
    <mergeCell ref="C11:E11"/>
    <mergeCell ref="B13:E13"/>
    <mergeCell ref="C14:E14"/>
    <mergeCell ref="C15:E15"/>
    <mergeCell ref="C16:E16"/>
    <mergeCell ref="C17:E17"/>
    <mergeCell ref="C18:E18"/>
    <mergeCell ref="C19:E19"/>
    <mergeCell ref="C20:E20"/>
    <mergeCell ref="B22:I2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2"/>
  </cols>
  <sheetData>
    <row r="2" customFormat="false" ht="19.7" hidden="false" customHeight="false" outlineLevel="0" collapsed="false">
      <c r="B2" s="13" t="s">
        <v>33</v>
      </c>
      <c r="C2" s="13"/>
      <c r="D2" s="13"/>
      <c r="E2" s="13"/>
      <c r="F2" s="13"/>
      <c r="G2" s="13"/>
      <c r="H2" s="13"/>
      <c r="I2" s="13"/>
    </row>
    <row r="3" customFormat="false" ht="15" hidden="false" customHeight="false" outlineLevel="0" collapsed="false">
      <c r="B3" s="14" t="s">
        <v>34</v>
      </c>
      <c r="C3" s="14"/>
      <c r="D3" s="14"/>
      <c r="E3" s="14"/>
      <c r="F3" s="14"/>
      <c r="G3" s="14"/>
      <c r="H3" s="14"/>
      <c r="I3" s="14"/>
    </row>
    <row r="4" customFormat="false" ht="24" hidden="false" customHeight="true" outlineLevel="0" collapsed="false"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</row>
    <row r="5" customFormat="false" ht="15" hidden="false" customHeight="false" outlineLevel="0" collapsed="false">
      <c r="B5" s="15" t="n">
        <v>1</v>
      </c>
      <c r="C5" s="16" t="s">
        <v>43</v>
      </c>
      <c r="D5" s="17" t="s">
        <v>44</v>
      </c>
      <c r="E5" s="17" t="s">
        <v>45</v>
      </c>
      <c r="F5" s="17" t="s">
        <v>46</v>
      </c>
      <c r="G5" s="18" t="n">
        <v>20</v>
      </c>
      <c r="H5" s="18" t="n">
        <v>150</v>
      </c>
      <c r="I5" s="17" t="s">
        <v>47</v>
      </c>
    </row>
    <row r="6" customFormat="false" ht="15" hidden="false" customHeight="false" outlineLevel="0" collapsed="false">
      <c r="B6" s="15" t="n">
        <v>2</v>
      </c>
      <c r="C6" s="16" t="s">
        <v>43</v>
      </c>
      <c r="D6" s="17" t="s">
        <v>48</v>
      </c>
      <c r="E6" s="17" t="s">
        <v>49</v>
      </c>
      <c r="F6" s="17" t="s">
        <v>50</v>
      </c>
      <c r="G6" s="18" t="n">
        <v>35</v>
      </c>
      <c r="H6" s="18" t="n">
        <v>280</v>
      </c>
      <c r="I6" s="17" t="s">
        <v>51</v>
      </c>
    </row>
    <row r="7" customFormat="false" ht="15" hidden="false" customHeight="false" outlineLevel="0" collapsed="false">
      <c r="B7" s="15" t="n">
        <v>3</v>
      </c>
      <c r="C7" s="16" t="s">
        <v>43</v>
      </c>
      <c r="D7" s="17" t="s">
        <v>52</v>
      </c>
      <c r="E7" s="17" t="s">
        <v>53</v>
      </c>
      <c r="F7" s="17" t="s">
        <v>54</v>
      </c>
      <c r="G7" s="18" t="n">
        <v>55</v>
      </c>
      <c r="H7" s="18" t="n">
        <v>520</v>
      </c>
      <c r="I7" s="17" t="s">
        <v>55</v>
      </c>
    </row>
    <row r="8" customFormat="false" ht="15" hidden="false" customHeight="false" outlineLevel="0" collapsed="false">
      <c r="B8" s="15" t="n">
        <v>4</v>
      </c>
      <c r="C8" s="16" t="s">
        <v>43</v>
      </c>
      <c r="D8" s="17" t="s">
        <v>56</v>
      </c>
      <c r="E8" s="17" t="s">
        <v>57</v>
      </c>
      <c r="F8" s="17" t="s">
        <v>58</v>
      </c>
      <c r="G8" s="18" t="n">
        <v>90</v>
      </c>
      <c r="H8" s="18" t="n">
        <v>900</v>
      </c>
      <c r="I8" s="17" t="s">
        <v>59</v>
      </c>
    </row>
    <row r="9" customFormat="false" ht="15" hidden="false" customHeight="false" outlineLevel="0" collapsed="false">
      <c r="B9" s="15" t="n">
        <v>5</v>
      </c>
      <c r="C9" s="16" t="s">
        <v>43</v>
      </c>
      <c r="D9" s="17" t="s">
        <v>60</v>
      </c>
      <c r="E9" s="17" t="s">
        <v>61</v>
      </c>
      <c r="F9" s="17" t="s">
        <v>62</v>
      </c>
      <c r="G9" s="18" t="n">
        <v>140</v>
      </c>
      <c r="H9" s="18" t="n">
        <v>1600</v>
      </c>
      <c r="I9" s="17" t="s">
        <v>63</v>
      </c>
    </row>
    <row r="10" customFormat="false" ht="15" hidden="false" customHeight="false" outlineLevel="0" collapsed="false">
      <c r="B10" s="15" t="n">
        <v>6</v>
      </c>
      <c r="C10" s="19" t="s">
        <v>64</v>
      </c>
      <c r="D10" s="17" t="s">
        <v>65</v>
      </c>
      <c r="E10" s="17" t="s">
        <v>66</v>
      </c>
      <c r="F10" s="17" t="s">
        <v>67</v>
      </c>
      <c r="G10" s="18" t="n">
        <v>20</v>
      </c>
      <c r="H10" s="18" t="n">
        <v>40</v>
      </c>
      <c r="I10" s="17" t="s">
        <v>68</v>
      </c>
    </row>
    <row r="11" customFormat="false" ht="15" hidden="false" customHeight="false" outlineLevel="0" collapsed="false">
      <c r="B11" s="15" t="n">
        <v>7</v>
      </c>
      <c r="C11" s="19" t="s">
        <v>64</v>
      </c>
      <c r="D11" s="17" t="s">
        <v>69</v>
      </c>
      <c r="E11" s="17" t="s">
        <v>70</v>
      </c>
      <c r="F11" s="17" t="s">
        <v>71</v>
      </c>
      <c r="G11" s="18" t="n">
        <v>70</v>
      </c>
      <c r="H11" s="18" t="n">
        <v>180</v>
      </c>
      <c r="I11" s="17" t="s">
        <v>72</v>
      </c>
    </row>
    <row r="12" customFormat="false" ht="15" hidden="false" customHeight="false" outlineLevel="0" collapsed="false">
      <c r="B12" s="15" t="n">
        <v>8</v>
      </c>
      <c r="C12" s="19" t="s">
        <v>64</v>
      </c>
      <c r="D12" s="17" t="s">
        <v>73</v>
      </c>
      <c r="E12" s="17" t="s">
        <v>74</v>
      </c>
      <c r="F12" s="17" t="s">
        <v>75</v>
      </c>
      <c r="G12" s="18" t="n">
        <v>110</v>
      </c>
      <c r="H12" s="18" t="n">
        <v>280</v>
      </c>
      <c r="I12" s="17" t="s">
        <v>76</v>
      </c>
    </row>
    <row r="13" customFormat="false" ht="15" hidden="false" customHeight="false" outlineLevel="0" collapsed="false">
      <c r="B13" s="15" t="n">
        <v>9</v>
      </c>
      <c r="C13" s="19" t="s">
        <v>64</v>
      </c>
      <c r="D13" s="17" t="s">
        <v>77</v>
      </c>
      <c r="E13" s="17" t="s">
        <v>78</v>
      </c>
      <c r="F13" s="17" t="s">
        <v>79</v>
      </c>
      <c r="G13" s="18" t="n">
        <v>180</v>
      </c>
      <c r="H13" s="18" t="n">
        <v>450</v>
      </c>
      <c r="I13" s="17" t="s">
        <v>80</v>
      </c>
    </row>
    <row r="14" customFormat="false" ht="15" hidden="false" customHeight="false" outlineLevel="0" collapsed="false">
      <c r="B14" s="15" t="n">
        <v>10</v>
      </c>
      <c r="C14" s="20" t="s">
        <v>81</v>
      </c>
      <c r="D14" s="17" t="s">
        <v>82</v>
      </c>
      <c r="E14" s="17" t="s">
        <v>83</v>
      </c>
      <c r="F14" s="17" t="s">
        <v>84</v>
      </c>
      <c r="G14" s="18" t="n">
        <v>30</v>
      </c>
      <c r="H14" s="18" t="n">
        <v>80</v>
      </c>
      <c r="I14" s="17" t="s">
        <v>85</v>
      </c>
    </row>
    <row r="15" customFormat="false" ht="15" hidden="false" customHeight="false" outlineLevel="0" collapsed="false">
      <c r="B15" s="15" t="n">
        <v>11</v>
      </c>
      <c r="C15" s="20" t="s">
        <v>81</v>
      </c>
      <c r="D15" s="17" t="s">
        <v>86</v>
      </c>
      <c r="E15" s="17" t="s">
        <v>87</v>
      </c>
      <c r="F15" s="17" t="s">
        <v>88</v>
      </c>
      <c r="G15" s="18" t="n">
        <v>45</v>
      </c>
      <c r="H15" s="18" t="n">
        <v>120</v>
      </c>
      <c r="I15" s="17" t="s">
        <v>89</v>
      </c>
    </row>
    <row r="16" customFormat="false" ht="15" hidden="false" customHeight="false" outlineLevel="0" collapsed="false">
      <c r="B16" s="15" t="n">
        <v>12</v>
      </c>
      <c r="C16" s="20" t="s">
        <v>81</v>
      </c>
      <c r="D16" s="17" t="s">
        <v>90</v>
      </c>
      <c r="E16" s="17" t="s">
        <v>91</v>
      </c>
      <c r="F16" s="17" t="s">
        <v>92</v>
      </c>
      <c r="G16" s="18" t="n">
        <v>70</v>
      </c>
      <c r="H16" s="18" t="n">
        <v>180</v>
      </c>
      <c r="I16" s="17" t="s">
        <v>93</v>
      </c>
    </row>
    <row r="17" customFormat="false" ht="15" hidden="false" customHeight="false" outlineLevel="0" collapsed="false">
      <c r="B17" s="15" t="n">
        <v>13</v>
      </c>
      <c r="C17" s="20" t="s">
        <v>81</v>
      </c>
      <c r="D17" s="17" t="s">
        <v>94</v>
      </c>
      <c r="E17" s="17" t="s">
        <v>95</v>
      </c>
      <c r="F17" s="17" t="s">
        <v>96</v>
      </c>
      <c r="G17" s="18" t="n">
        <v>110</v>
      </c>
      <c r="H17" s="18" t="n">
        <v>280</v>
      </c>
      <c r="I17" s="17" t="s">
        <v>97</v>
      </c>
    </row>
    <row r="18" customFormat="false" ht="15" hidden="false" customHeight="false" outlineLevel="0" collapsed="false">
      <c r="B18" s="15" t="n">
        <v>14</v>
      </c>
      <c r="C18" s="21" t="s">
        <v>98</v>
      </c>
      <c r="D18" s="17" t="s">
        <v>99</v>
      </c>
      <c r="E18" s="17" t="s">
        <v>100</v>
      </c>
      <c r="F18" s="17" t="s">
        <v>101</v>
      </c>
      <c r="G18" s="18" t="n">
        <v>22</v>
      </c>
      <c r="H18" s="18" t="n">
        <v>70</v>
      </c>
      <c r="I18" s="17" t="s">
        <v>102</v>
      </c>
    </row>
    <row r="19" customFormat="false" ht="15" hidden="false" customHeight="false" outlineLevel="0" collapsed="false">
      <c r="B19" s="15" t="n">
        <v>15</v>
      </c>
      <c r="C19" s="21" t="s">
        <v>98</v>
      </c>
      <c r="D19" s="17" t="s">
        <v>103</v>
      </c>
      <c r="E19" s="17" t="s">
        <v>104</v>
      </c>
      <c r="F19" s="17" t="s">
        <v>105</v>
      </c>
      <c r="G19" s="18" t="n">
        <v>30</v>
      </c>
      <c r="H19" s="18" t="n">
        <v>90</v>
      </c>
      <c r="I19" s="17" t="s">
        <v>106</v>
      </c>
    </row>
    <row r="20" customFormat="false" ht="15" hidden="false" customHeight="false" outlineLevel="0" collapsed="false">
      <c r="B20" s="15" t="n">
        <v>16</v>
      </c>
      <c r="C20" s="21" t="s">
        <v>98</v>
      </c>
      <c r="D20" s="17" t="s">
        <v>107</v>
      </c>
      <c r="E20" s="17" t="s">
        <v>108</v>
      </c>
      <c r="F20" s="17" t="s">
        <v>109</v>
      </c>
      <c r="G20" s="18" t="n">
        <v>45</v>
      </c>
      <c r="H20" s="18" t="n">
        <v>130</v>
      </c>
      <c r="I20" s="17" t="s">
        <v>110</v>
      </c>
    </row>
    <row r="21" customFormat="false" ht="15" hidden="false" customHeight="false" outlineLevel="0" collapsed="false">
      <c r="B21" s="15" t="n">
        <v>17</v>
      </c>
      <c r="C21" s="22" t="s">
        <v>111</v>
      </c>
      <c r="D21" s="17" t="s">
        <v>112</v>
      </c>
      <c r="E21" s="17" t="s">
        <v>113</v>
      </c>
      <c r="F21" s="17" t="s">
        <v>114</v>
      </c>
      <c r="G21" s="18" t="n">
        <v>40</v>
      </c>
      <c r="H21" s="18" t="n">
        <v>250</v>
      </c>
      <c r="I21" s="17" t="s">
        <v>115</v>
      </c>
    </row>
    <row r="22" customFormat="false" ht="15" hidden="false" customHeight="false" outlineLevel="0" collapsed="false">
      <c r="B22" s="15" t="n">
        <v>18</v>
      </c>
      <c r="C22" s="22" t="s">
        <v>111</v>
      </c>
      <c r="D22" s="17" t="s">
        <v>116</v>
      </c>
      <c r="E22" s="17" t="s">
        <v>117</v>
      </c>
      <c r="F22" s="17" t="s">
        <v>118</v>
      </c>
      <c r="G22" s="18" t="n">
        <v>20</v>
      </c>
      <c r="H22" s="18" t="n">
        <v>30</v>
      </c>
      <c r="I22" s="17" t="s">
        <v>119</v>
      </c>
    </row>
    <row r="23" customFormat="false" ht="15" hidden="false" customHeight="false" outlineLevel="0" collapsed="false">
      <c r="B23" s="15" t="n">
        <v>19</v>
      </c>
      <c r="C23" s="22" t="s">
        <v>111</v>
      </c>
      <c r="D23" s="17" t="s">
        <v>120</v>
      </c>
      <c r="E23" s="17" t="s">
        <v>121</v>
      </c>
      <c r="F23" s="17" t="s">
        <v>122</v>
      </c>
      <c r="G23" s="18" t="n">
        <v>15</v>
      </c>
      <c r="H23" s="18" t="n">
        <v>40</v>
      </c>
      <c r="I23" s="17" t="s">
        <v>123</v>
      </c>
    </row>
    <row r="24" customFormat="false" ht="15" hidden="false" customHeight="false" outlineLevel="0" collapsed="false">
      <c r="B24" s="15" t="n">
        <v>20</v>
      </c>
      <c r="C24" s="22" t="s">
        <v>111</v>
      </c>
      <c r="D24" s="17" t="s">
        <v>124</v>
      </c>
      <c r="E24" s="17" t="s">
        <v>125</v>
      </c>
      <c r="F24" s="17" t="s">
        <v>126</v>
      </c>
      <c r="G24" s="18" t="n">
        <v>8</v>
      </c>
      <c r="H24" s="18" t="n">
        <v>5</v>
      </c>
      <c r="I24" s="17" t="s">
        <v>127</v>
      </c>
    </row>
  </sheetData>
  <autoFilter ref="B4:I27"/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2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44"/>
    <col collapsed="false" customWidth="true" hidden="false" outlineLevel="0" max="12" min="12" style="0" width="10"/>
    <col collapsed="false" customWidth="true" hidden="false" outlineLevel="0" max="13" min="13" style="0" width="14"/>
  </cols>
  <sheetData>
    <row r="2" customFormat="false" ht="19.7" hidden="false" customHeight="false" outlineLevel="0" collapsed="false">
      <c r="B2" s="13" t="s">
        <v>128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5" hidden="false" customHeight="false" outlineLevel="0" collapsed="false">
      <c r="B3" s="14" t="s">
        <v>129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4" customFormat="false" ht="21.75" hidden="false" customHeight="true" outlineLevel="0" collapsed="false">
      <c r="B4" s="8" t="s">
        <v>35</v>
      </c>
      <c r="C4" s="8" t="s">
        <v>130</v>
      </c>
      <c r="D4" s="8" t="s">
        <v>131</v>
      </c>
      <c r="E4" s="8" t="s">
        <v>132</v>
      </c>
      <c r="F4" s="8" t="s">
        <v>133</v>
      </c>
      <c r="G4" s="8" t="s">
        <v>134</v>
      </c>
      <c r="H4" s="8" t="s">
        <v>135</v>
      </c>
      <c r="I4" s="8" t="s">
        <v>136</v>
      </c>
      <c r="J4" s="8" t="s">
        <v>137</v>
      </c>
      <c r="K4" s="8" t="s">
        <v>138</v>
      </c>
      <c r="L4" s="8" t="s">
        <v>139</v>
      </c>
      <c r="M4" s="8" t="s">
        <v>140</v>
      </c>
    </row>
    <row r="5" customFormat="false" ht="18" hidden="false" customHeight="true" outlineLevel="0" collapsed="false">
      <c r="B5" s="23" t="n">
        <v>1</v>
      </c>
      <c r="C5" s="24" t="s">
        <v>141</v>
      </c>
      <c r="D5" s="24" t="s">
        <v>142</v>
      </c>
      <c r="E5" s="24" t="n">
        <v>500</v>
      </c>
      <c r="F5" s="25" t="s">
        <v>143</v>
      </c>
      <c r="G5" s="24" t="s">
        <v>144</v>
      </c>
      <c r="H5" s="24" t="s">
        <v>145</v>
      </c>
      <c r="I5" s="26" t="n">
        <v>1</v>
      </c>
      <c r="J5" s="27" t="s">
        <v>146</v>
      </c>
      <c r="K5" s="24" t="s">
        <v>147</v>
      </c>
      <c r="L5" s="24" t="n">
        <v>8</v>
      </c>
      <c r="M5" s="27" t="n">
        <v>7</v>
      </c>
      <c r="N5" s="28"/>
    </row>
    <row r="6" customFormat="false" ht="18" hidden="false" customHeight="true" outlineLevel="0" collapsed="false">
      <c r="B6" s="23" t="n">
        <v>2</v>
      </c>
      <c r="C6" s="24" t="s">
        <v>141</v>
      </c>
      <c r="D6" s="24" t="s">
        <v>142</v>
      </c>
      <c r="E6" s="24" t="n">
        <v>500</v>
      </c>
      <c r="F6" s="25" t="s">
        <v>143</v>
      </c>
      <c r="G6" s="24" t="s">
        <v>148</v>
      </c>
      <c r="H6" s="24" t="s">
        <v>145</v>
      </c>
      <c r="I6" s="26" t="n">
        <v>1</v>
      </c>
      <c r="J6" s="27" t="s">
        <v>149</v>
      </c>
      <c r="K6" s="24" t="s">
        <v>150</v>
      </c>
      <c r="L6" s="24" t="n">
        <v>20</v>
      </c>
      <c r="M6" s="27" t="n">
        <v>7</v>
      </c>
      <c r="N6" s="28"/>
    </row>
    <row r="7" customFormat="false" ht="18" hidden="false" customHeight="true" outlineLevel="0" collapsed="false">
      <c r="B7" s="23" t="n">
        <v>3</v>
      </c>
      <c r="C7" s="24" t="s">
        <v>141</v>
      </c>
      <c r="D7" s="24" t="s">
        <v>142</v>
      </c>
      <c r="E7" s="24" t="n">
        <v>500</v>
      </c>
      <c r="F7" s="25" t="s">
        <v>143</v>
      </c>
      <c r="G7" s="24" t="s">
        <v>151</v>
      </c>
      <c r="H7" s="24" t="s">
        <v>145</v>
      </c>
      <c r="I7" s="26" t="n">
        <v>1</v>
      </c>
      <c r="J7" s="27" t="s">
        <v>149</v>
      </c>
      <c r="K7" s="24" t="s">
        <v>152</v>
      </c>
      <c r="L7" s="24" t="n">
        <v>8</v>
      </c>
      <c r="M7" s="27" t="n">
        <v>7</v>
      </c>
      <c r="N7" s="28"/>
    </row>
    <row r="8" customFormat="false" ht="18" hidden="false" customHeight="true" outlineLevel="0" collapsed="false">
      <c r="B8" s="23" t="n">
        <v>4</v>
      </c>
      <c r="C8" s="24" t="s">
        <v>141</v>
      </c>
      <c r="D8" s="24" t="s">
        <v>142</v>
      </c>
      <c r="E8" s="24" t="n">
        <v>500</v>
      </c>
      <c r="F8" s="25" t="s">
        <v>153</v>
      </c>
      <c r="G8" s="24" t="s">
        <v>154</v>
      </c>
      <c r="H8" s="24" t="s">
        <v>145</v>
      </c>
      <c r="I8" s="26" t="n">
        <v>1</v>
      </c>
      <c r="J8" s="27" t="s">
        <v>149</v>
      </c>
      <c r="K8" s="24" t="s">
        <v>155</v>
      </c>
      <c r="L8" s="24" t="n">
        <v>24</v>
      </c>
      <c r="M8" s="27" t="n">
        <v>5</v>
      </c>
      <c r="N8" s="28"/>
    </row>
    <row r="9" customFormat="false" ht="18" hidden="false" customHeight="true" outlineLevel="0" collapsed="false">
      <c r="B9" s="23" t="n">
        <v>5</v>
      </c>
      <c r="C9" s="24" t="s">
        <v>141</v>
      </c>
      <c r="D9" s="24" t="s">
        <v>142</v>
      </c>
      <c r="E9" s="24" t="n">
        <v>500</v>
      </c>
      <c r="F9" s="25" t="s">
        <v>153</v>
      </c>
      <c r="G9" s="24" t="s">
        <v>156</v>
      </c>
      <c r="H9" s="24" t="s">
        <v>145</v>
      </c>
      <c r="I9" s="26" t="n">
        <v>1</v>
      </c>
      <c r="J9" s="27" t="s">
        <v>149</v>
      </c>
      <c r="K9" s="24" t="s">
        <v>157</v>
      </c>
      <c r="L9" s="24" t="n">
        <v>24</v>
      </c>
      <c r="M9" s="27" t="n">
        <v>5</v>
      </c>
      <c r="N9" s="28"/>
    </row>
    <row r="10" customFormat="false" ht="18" hidden="false" customHeight="true" outlineLevel="0" collapsed="false">
      <c r="B10" s="23" t="n">
        <v>6</v>
      </c>
      <c r="C10" s="24" t="s">
        <v>141</v>
      </c>
      <c r="D10" s="24" t="s">
        <v>142</v>
      </c>
      <c r="E10" s="24" t="n">
        <v>500</v>
      </c>
      <c r="F10" s="25" t="s">
        <v>153</v>
      </c>
      <c r="G10" s="24" t="s">
        <v>158</v>
      </c>
      <c r="H10" s="24" t="s">
        <v>159</v>
      </c>
      <c r="I10" s="26" t="n">
        <v>1</v>
      </c>
      <c r="J10" s="27" t="s">
        <v>149</v>
      </c>
      <c r="K10" s="24" t="s">
        <v>160</v>
      </c>
      <c r="L10" s="24" t="n">
        <v>6</v>
      </c>
      <c r="M10" s="27" t="n">
        <v>10</v>
      </c>
      <c r="N10" s="28"/>
    </row>
    <row r="11" customFormat="false" ht="18" hidden="false" customHeight="true" outlineLevel="0" collapsed="false">
      <c r="B11" s="23" t="n">
        <v>7</v>
      </c>
      <c r="C11" s="24" t="s">
        <v>43</v>
      </c>
      <c r="D11" s="24" t="s">
        <v>161</v>
      </c>
      <c r="E11" s="24" t="n">
        <v>500</v>
      </c>
      <c r="F11" s="25" t="s">
        <v>162</v>
      </c>
      <c r="G11" s="24" t="s">
        <v>163</v>
      </c>
      <c r="H11" s="24" t="s">
        <v>145</v>
      </c>
      <c r="I11" s="26" t="n">
        <v>1</v>
      </c>
      <c r="J11" s="27" t="s">
        <v>149</v>
      </c>
      <c r="K11" s="24" t="s">
        <v>164</v>
      </c>
      <c r="L11" s="24" t="n">
        <v>12</v>
      </c>
      <c r="M11" s="27" t="n">
        <v>7</v>
      </c>
      <c r="N11" s="28"/>
    </row>
    <row r="12" customFormat="false" ht="18" hidden="false" customHeight="true" outlineLevel="0" collapsed="false">
      <c r="B12" s="23" t="n">
        <v>8</v>
      </c>
      <c r="C12" s="24" t="s">
        <v>43</v>
      </c>
      <c r="D12" s="24" t="s">
        <v>161</v>
      </c>
      <c r="E12" s="24" t="n">
        <v>500</v>
      </c>
      <c r="F12" s="25" t="s">
        <v>162</v>
      </c>
      <c r="G12" s="24" t="s">
        <v>165</v>
      </c>
      <c r="H12" s="24" t="s">
        <v>145</v>
      </c>
      <c r="I12" s="26" t="n">
        <v>1</v>
      </c>
      <c r="J12" s="27" t="s">
        <v>149</v>
      </c>
      <c r="K12" s="24" t="s">
        <v>166</v>
      </c>
      <c r="L12" s="24" t="n">
        <v>10</v>
      </c>
      <c r="M12" s="27" t="n">
        <v>7</v>
      </c>
      <c r="N12" s="28"/>
    </row>
    <row r="13" customFormat="false" ht="18" hidden="false" customHeight="true" outlineLevel="0" collapsed="false">
      <c r="B13" s="23" t="n">
        <v>9</v>
      </c>
      <c r="C13" s="24" t="s">
        <v>43</v>
      </c>
      <c r="D13" s="24" t="s">
        <v>167</v>
      </c>
      <c r="E13" s="24" t="n">
        <v>500</v>
      </c>
      <c r="F13" s="25" t="s">
        <v>162</v>
      </c>
      <c r="G13" s="24" t="s">
        <v>168</v>
      </c>
      <c r="H13" s="24" t="s">
        <v>145</v>
      </c>
      <c r="I13" s="26" t="n">
        <v>1</v>
      </c>
      <c r="J13" s="27" t="s">
        <v>149</v>
      </c>
      <c r="K13" s="24" t="s">
        <v>169</v>
      </c>
      <c r="L13" s="24" t="n">
        <v>8</v>
      </c>
      <c r="M13" s="27" t="n">
        <v>10</v>
      </c>
      <c r="N13" s="28"/>
    </row>
    <row r="14" customFormat="false" ht="18" hidden="false" customHeight="true" outlineLevel="0" collapsed="false">
      <c r="B14" s="23" t="n">
        <v>10</v>
      </c>
      <c r="C14" s="24" t="s">
        <v>64</v>
      </c>
      <c r="D14" s="24" t="s">
        <v>170</v>
      </c>
      <c r="E14" s="24" t="n">
        <v>500</v>
      </c>
      <c r="F14" s="25" t="s">
        <v>171</v>
      </c>
      <c r="G14" s="24" t="s">
        <v>172</v>
      </c>
      <c r="H14" s="24" t="s">
        <v>145</v>
      </c>
      <c r="I14" s="26" t="n">
        <v>1</v>
      </c>
      <c r="J14" s="27" t="s">
        <v>173</v>
      </c>
      <c r="K14" s="24" t="s">
        <v>174</v>
      </c>
      <c r="L14" s="24" t="n">
        <v>10</v>
      </c>
      <c r="M14" s="27" t="n">
        <v>7</v>
      </c>
      <c r="N14" s="28"/>
    </row>
    <row r="15" customFormat="false" ht="18" hidden="false" customHeight="true" outlineLevel="0" collapsed="false">
      <c r="B15" s="23" t="n">
        <v>11</v>
      </c>
      <c r="C15" s="24" t="s">
        <v>64</v>
      </c>
      <c r="D15" s="24" t="s">
        <v>170</v>
      </c>
      <c r="E15" s="24" t="n">
        <v>500</v>
      </c>
      <c r="F15" s="25" t="s">
        <v>162</v>
      </c>
      <c r="G15" s="24" t="s">
        <v>175</v>
      </c>
      <c r="H15" s="24" t="s">
        <v>145</v>
      </c>
      <c r="I15" s="26" t="n">
        <v>1</v>
      </c>
      <c r="J15" s="27" t="s">
        <v>173</v>
      </c>
      <c r="K15" s="24" t="s">
        <v>176</v>
      </c>
      <c r="L15" s="24" t="n">
        <v>8</v>
      </c>
      <c r="M15" s="27" t="n">
        <v>7</v>
      </c>
      <c r="N15" s="28"/>
    </row>
    <row r="16" customFormat="false" ht="18" hidden="false" customHeight="true" outlineLevel="0" collapsed="false">
      <c r="B16" s="23" t="n">
        <v>12</v>
      </c>
      <c r="C16" s="24" t="s">
        <v>81</v>
      </c>
      <c r="D16" s="24" t="s">
        <v>177</v>
      </c>
      <c r="E16" s="24" t="n">
        <v>500</v>
      </c>
      <c r="F16" s="25" t="s">
        <v>162</v>
      </c>
      <c r="G16" s="24" t="s">
        <v>163</v>
      </c>
      <c r="H16" s="24" t="s">
        <v>145</v>
      </c>
      <c r="I16" s="26" t="n">
        <v>1</v>
      </c>
      <c r="J16" s="27" t="s">
        <v>149</v>
      </c>
      <c r="K16" s="24" t="s">
        <v>178</v>
      </c>
      <c r="L16" s="24" t="n">
        <v>8</v>
      </c>
      <c r="M16" s="27" t="n">
        <v>7</v>
      </c>
      <c r="N16" s="28"/>
    </row>
    <row r="17" customFormat="false" ht="18" hidden="false" customHeight="true" outlineLevel="0" collapsed="false">
      <c r="B17" s="23" t="n">
        <v>13</v>
      </c>
      <c r="C17" s="24" t="s">
        <v>98</v>
      </c>
      <c r="D17" s="24" t="s">
        <v>179</v>
      </c>
      <c r="E17" s="24" t="n">
        <v>500</v>
      </c>
      <c r="F17" s="25" t="s">
        <v>162</v>
      </c>
      <c r="G17" s="24" t="s">
        <v>180</v>
      </c>
      <c r="H17" s="24" t="s">
        <v>145</v>
      </c>
      <c r="I17" s="26" t="n">
        <v>1</v>
      </c>
      <c r="J17" s="27" t="s">
        <v>149</v>
      </c>
      <c r="K17" s="24" t="s">
        <v>181</v>
      </c>
      <c r="L17" s="24" t="n">
        <v>6</v>
      </c>
      <c r="M17" s="27" t="n">
        <v>7</v>
      </c>
      <c r="N17" s="28"/>
    </row>
    <row r="18" customFormat="false" ht="18" hidden="false" customHeight="true" outlineLevel="0" collapsed="false">
      <c r="B18" s="23" t="n">
        <v>14</v>
      </c>
      <c r="C18" s="24" t="s">
        <v>141</v>
      </c>
      <c r="D18" s="24" t="s">
        <v>142</v>
      </c>
      <c r="E18" s="24" t="n">
        <v>500</v>
      </c>
      <c r="F18" s="25" t="s">
        <v>182</v>
      </c>
      <c r="G18" s="24" t="s">
        <v>183</v>
      </c>
      <c r="H18" s="24" t="s">
        <v>159</v>
      </c>
      <c r="I18" s="26" t="n">
        <v>1</v>
      </c>
      <c r="J18" s="27" t="s">
        <v>149</v>
      </c>
      <c r="K18" s="24" t="s">
        <v>184</v>
      </c>
      <c r="L18" s="24" t="n">
        <v>16</v>
      </c>
      <c r="M18" s="27" t="n">
        <v>7</v>
      </c>
      <c r="N18" s="28"/>
    </row>
    <row r="19" customFormat="false" ht="18" hidden="false" customHeight="true" outlineLevel="0" collapsed="false">
      <c r="B19" s="23" t="n">
        <v>15</v>
      </c>
      <c r="C19" s="24" t="s">
        <v>141</v>
      </c>
      <c r="D19" s="24" t="s">
        <v>142</v>
      </c>
      <c r="E19" s="24" t="n">
        <v>500</v>
      </c>
      <c r="F19" s="25" t="s">
        <v>185</v>
      </c>
      <c r="G19" s="24" t="s">
        <v>186</v>
      </c>
      <c r="H19" s="24" t="s">
        <v>187</v>
      </c>
      <c r="I19" s="26" t="n">
        <v>1</v>
      </c>
      <c r="J19" s="27" t="s">
        <v>188</v>
      </c>
      <c r="K19" s="24" t="s">
        <v>189</v>
      </c>
      <c r="L19" s="24" t="n">
        <v>0</v>
      </c>
      <c r="M19" s="27" t="n">
        <v>3</v>
      </c>
      <c r="N19" s="28"/>
    </row>
    <row r="20" customFormat="false" ht="18" hidden="false" customHeight="true" outlineLevel="0" collapsed="false">
      <c r="B20" s="23" t="n">
        <v>16</v>
      </c>
      <c r="C20" s="24" t="s">
        <v>141</v>
      </c>
      <c r="D20" s="24" t="s">
        <v>142</v>
      </c>
      <c r="E20" s="24" t="n">
        <v>500</v>
      </c>
      <c r="F20" s="25" t="s">
        <v>190</v>
      </c>
      <c r="G20" s="24" t="s">
        <v>191</v>
      </c>
      <c r="H20" s="24" t="s">
        <v>159</v>
      </c>
      <c r="I20" s="26" t="n">
        <v>1</v>
      </c>
      <c r="J20" s="27" t="s">
        <v>146</v>
      </c>
      <c r="K20" s="24" t="s">
        <v>192</v>
      </c>
      <c r="L20" s="24" t="n">
        <v>20</v>
      </c>
      <c r="M20" s="27" t="n">
        <v>3</v>
      </c>
      <c r="N20" s="28"/>
    </row>
    <row r="21" customFormat="false" ht="18" hidden="false" customHeight="true" outlineLevel="0" collapsed="false">
      <c r="B21" s="23" t="n">
        <v>17</v>
      </c>
      <c r="C21" s="24" t="s">
        <v>141</v>
      </c>
      <c r="D21" s="24" t="s">
        <v>142</v>
      </c>
      <c r="E21" s="24" t="n">
        <v>500</v>
      </c>
      <c r="F21" s="25" t="s">
        <v>193</v>
      </c>
      <c r="G21" s="24" t="s">
        <v>194</v>
      </c>
      <c r="H21" s="24" t="s">
        <v>187</v>
      </c>
      <c r="I21" s="26" t="n">
        <v>1</v>
      </c>
      <c r="J21" s="27" t="s">
        <v>188</v>
      </c>
      <c r="K21" s="24" t="s">
        <v>195</v>
      </c>
      <c r="L21" s="24" t="n">
        <v>0</v>
      </c>
      <c r="M21" s="27" t="n">
        <v>3</v>
      </c>
      <c r="N21" s="28"/>
    </row>
    <row r="22" customFormat="false" ht="18" hidden="false" customHeight="true" outlineLevel="0" collapsed="false">
      <c r="B22" s="23" t="n">
        <v>18</v>
      </c>
      <c r="C22" s="24" t="s">
        <v>81</v>
      </c>
      <c r="D22" s="24" t="s">
        <v>177</v>
      </c>
      <c r="E22" s="24" t="n">
        <v>500</v>
      </c>
      <c r="F22" s="25" t="s">
        <v>196</v>
      </c>
      <c r="G22" s="24" t="s">
        <v>197</v>
      </c>
      <c r="H22" s="24" t="s">
        <v>159</v>
      </c>
      <c r="I22" s="26" t="n">
        <v>1</v>
      </c>
      <c r="J22" s="27" t="s">
        <v>173</v>
      </c>
      <c r="K22" s="24" t="s">
        <v>198</v>
      </c>
      <c r="L22" s="24" t="n">
        <v>0</v>
      </c>
      <c r="M22" s="27" t="n">
        <v>0</v>
      </c>
      <c r="N22" s="28"/>
    </row>
    <row r="23" customFormat="false" ht="18" hidden="false" customHeight="true" outlineLevel="0" collapsed="false">
      <c r="B23" s="23" t="n">
        <v>19</v>
      </c>
      <c r="C23" s="24" t="s">
        <v>43</v>
      </c>
      <c r="D23" s="24" t="s">
        <v>161</v>
      </c>
      <c r="E23" s="24" t="n">
        <v>500</v>
      </c>
      <c r="F23" s="25" t="s">
        <v>196</v>
      </c>
      <c r="G23" s="24" t="s">
        <v>199</v>
      </c>
      <c r="H23" s="24" t="s">
        <v>159</v>
      </c>
      <c r="I23" s="26" t="n">
        <v>1</v>
      </c>
      <c r="J23" s="27" t="s">
        <v>173</v>
      </c>
      <c r="K23" s="24" t="s">
        <v>200</v>
      </c>
      <c r="L23" s="24" t="n">
        <v>0</v>
      </c>
      <c r="M23" s="27" t="n">
        <v>0</v>
      </c>
      <c r="N23" s="28"/>
    </row>
    <row r="24" customFormat="false" ht="18" hidden="false" customHeight="true" outlineLevel="0" collapsed="false">
      <c r="B24" s="23" t="n">
        <v>20</v>
      </c>
      <c r="C24" s="24" t="s">
        <v>64</v>
      </c>
      <c r="D24" s="24" t="s">
        <v>170</v>
      </c>
      <c r="E24" s="24" t="n">
        <v>500</v>
      </c>
      <c r="F24" s="25" t="s">
        <v>201</v>
      </c>
      <c r="G24" s="24" t="s">
        <v>202</v>
      </c>
      <c r="H24" s="24" t="s">
        <v>159</v>
      </c>
      <c r="I24" s="26" t="n">
        <v>1</v>
      </c>
      <c r="J24" s="27" t="s">
        <v>173</v>
      </c>
      <c r="K24" s="24" t="s">
        <v>203</v>
      </c>
      <c r="L24" s="24" t="n">
        <v>4</v>
      </c>
      <c r="M24" s="27" t="n">
        <v>14</v>
      </c>
      <c r="N24" s="28"/>
    </row>
    <row r="25" customFormat="false" ht="18" hidden="false" customHeight="true" outlineLevel="0" collapsed="false">
      <c r="B25" s="23" t="n">
        <v>21</v>
      </c>
      <c r="C25" s="24" t="s">
        <v>64</v>
      </c>
      <c r="D25" s="24" t="s">
        <v>170</v>
      </c>
      <c r="E25" s="24" t="n">
        <v>500</v>
      </c>
      <c r="F25" s="25" t="s">
        <v>204</v>
      </c>
      <c r="G25" s="24" t="s">
        <v>205</v>
      </c>
      <c r="H25" s="24" t="s">
        <v>159</v>
      </c>
      <c r="I25" s="26" t="n">
        <v>6</v>
      </c>
      <c r="J25" s="27" t="s">
        <v>206</v>
      </c>
      <c r="K25" s="24" t="s">
        <v>207</v>
      </c>
      <c r="L25" s="24" t="n">
        <v>2</v>
      </c>
      <c r="M25" s="27" t="n">
        <v>30</v>
      </c>
      <c r="N25" s="28"/>
    </row>
    <row r="26" customFormat="false" ht="18" hidden="false" customHeight="true" outlineLevel="0" collapsed="false">
      <c r="B26" s="23" t="n">
        <v>22</v>
      </c>
      <c r="C26" s="24" t="s">
        <v>98</v>
      </c>
      <c r="D26" s="24" t="s">
        <v>179</v>
      </c>
      <c r="E26" s="24" t="n">
        <v>500</v>
      </c>
      <c r="F26" s="25" t="s">
        <v>208</v>
      </c>
      <c r="G26" s="24" t="s">
        <v>209</v>
      </c>
      <c r="H26" s="24" t="s">
        <v>159</v>
      </c>
      <c r="I26" s="26" t="n">
        <v>1</v>
      </c>
      <c r="J26" s="27" t="s">
        <v>173</v>
      </c>
      <c r="K26" s="24" t="s">
        <v>210</v>
      </c>
      <c r="L26" s="24" t="n">
        <v>4</v>
      </c>
      <c r="M26" s="27" t="n">
        <v>14</v>
      </c>
      <c r="N26" s="28"/>
    </row>
    <row r="27" customFormat="false" ht="18" hidden="false" customHeight="true" outlineLevel="0" collapsed="false">
      <c r="B27" s="23" t="n">
        <v>23</v>
      </c>
      <c r="C27" s="24" t="s">
        <v>81</v>
      </c>
      <c r="D27" s="24" t="s">
        <v>177</v>
      </c>
      <c r="E27" s="24" t="n">
        <v>500</v>
      </c>
      <c r="F27" s="25" t="s">
        <v>208</v>
      </c>
      <c r="G27" s="24" t="s">
        <v>211</v>
      </c>
      <c r="H27" s="24" t="s">
        <v>159</v>
      </c>
      <c r="I27" s="26" t="n">
        <v>1</v>
      </c>
      <c r="J27" s="27" t="s">
        <v>173</v>
      </c>
      <c r="K27" s="24" t="s">
        <v>212</v>
      </c>
      <c r="L27" s="24" t="n">
        <v>6</v>
      </c>
      <c r="M27" s="27" t="n">
        <v>10</v>
      </c>
      <c r="N27" s="28"/>
    </row>
    <row r="28" customFormat="false" ht="18" hidden="false" customHeight="true" outlineLevel="0" collapsed="false">
      <c r="B28" s="23" t="n">
        <v>24</v>
      </c>
      <c r="C28" s="24" t="s">
        <v>141</v>
      </c>
      <c r="D28" s="24" t="s">
        <v>142</v>
      </c>
      <c r="E28" s="24" t="n">
        <v>1000</v>
      </c>
      <c r="F28" s="29" t="s">
        <v>143</v>
      </c>
      <c r="G28" s="24" t="s">
        <v>213</v>
      </c>
      <c r="H28" s="24" t="s">
        <v>145</v>
      </c>
      <c r="I28" s="26" t="n">
        <v>1</v>
      </c>
      <c r="J28" s="27" t="s">
        <v>214</v>
      </c>
      <c r="K28" s="24" t="s">
        <v>215</v>
      </c>
      <c r="L28" s="24" t="n">
        <v>0</v>
      </c>
      <c r="M28" s="27" t="n">
        <v>0</v>
      </c>
      <c r="N28" s="28"/>
    </row>
    <row r="29" customFormat="false" ht="18" hidden="false" customHeight="true" outlineLevel="0" collapsed="false">
      <c r="B29" s="23" t="n">
        <v>25</v>
      </c>
      <c r="C29" s="24" t="s">
        <v>141</v>
      </c>
      <c r="D29" s="24" t="s">
        <v>142</v>
      </c>
      <c r="E29" s="24" t="n">
        <v>1000</v>
      </c>
      <c r="F29" s="29" t="s">
        <v>182</v>
      </c>
      <c r="G29" s="24" t="s">
        <v>216</v>
      </c>
      <c r="H29" s="24" t="s">
        <v>145</v>
      </c>
      <c r="I29" s="26" t="n">
        <v>1</v>
      </c>
      <c r="J29" s="27" t="s">
        <v>173</v>
      </c>
      <c r="K29" s="24" t="s">
        <v>217</v>
      </c>
      <c r="L29" s="24" t="n">
        <v>12</v>
      </c>
      <c r="M29" s="27" t="n">
        <v>7</v>
      </c>
      <c r="N29" s="28"/>
    </row>
    <row r="30" customFormat="false" ht="18" hidden="false" customHeight="true" outlineLevel="0" collapsed="false">
      <c r="B30" s="23" t="n">
        <v>26</v>
      </c>
      <c r="C30" s="24" t="s">
        <v>141</v>
      </c>
      <c r="D30" s="24" t="s">
        <v>142</v>
      </c>
      <c r="E30" s="24" t="n">
        <v>1000</v>
      </c>
      <c r="F30" s="29" t="s">
        <v>185</v>
      </c>
      <c r="G30" s="24" t="s">
        <v>218</v>
      </c>
      <c r="H30" s="24" t="s">
        <v>145</v>
      </c>
      <c r="I30" s="26" t="n">
        <v>1</v>
      </c>
      <c r="J30" s="27" t="s">
        <v>149</v>
      </c>
      <c r="K30" s="24" t="s">
        <v>219</v>
      </c>
      <c r="L30" s="24" t="n">
        <v>8</v>
      </c>
      <c r="M30" s="27" t="n">
        <v>7</v>
      </c>
      <c r="N30" s="28"/>
    </row>
    <row r="31" customFormat="false" ht="18" hidden="false" customHeight="true" outlineLevel="0" collapsed="false">
      <c r="B31" s="23" t="n">
        <v>27</v>
      </c>
      <c r="C31" s="24" t="s">
        <v>43</v>
      </c>
      <c r="D31" s="24" t="s">
        <v>161</v>
      </c>
      <c r="E31" s="24" t="n">
        <v>1000</v>
      </c>
      <c r="F31" s="29" t="s">
        <v>220</v>
      </c>
      <c r="G31" s="24" t="s">
        <v>221</v>
      </c>
      <c r="H31" s="24" t="s">
        <v>145</v>
      </c>
      <c r="I31" s="26" t="n">
        <v>1</v>
      </c>
      <c r="J31" s="27" t="s">
        <v>146</v>
      </c>
      <c r="K31" s="24" t="s">
        <v>222</v>
      </c>
      <c r="L31" s="24" t="n">
        <v>4</v>
      </c>
      <c r="M31" s="27" t="n">
        <v>5</v>
      </c>
      <c r="N31" s="28"/>
    </row>
    <row r="32" customFormat="false" ht="18" hidden="false" customHeight="true" outlineLevel="0" collapsed="false">
      <c r="B32" s="23" t="n">
        <v>28</v>
      </c>
      <c r="C32" s="24" t="s">
        <v>43</v>
      </c>
      <c r="D32" s="24" t="s">
        <v>161</v>
      </c>
      <c r="E32" s="24" t="n">
        <v>1000</v>
      </c>
      <c r="F32" s="29" t="s">
        <v>223</v>
      </c>
      <c r="G32" s="24" t="s">
        <v>224</v>
      </c>
      <c r="H32" s="24" t="s">
        <v>145</v>
      </c>
      <c r="I32" s="26" t="n">
        <v>2</v>
      </c>
      <c r="J32" s="27" t="s">
        <v>225</v>
      </c>
      <c r="K32" s="24" t="s">
        <v>226</v>
      </c>
      <c r="L32" s="24" t="n">
        <v>6</v>
      </c>
      <c r="M32" s="27" t="n">
        <v>5</v>
      </c>
      <c r="N32" s="28"/>
    </row>
    <row r="33" customFormat="false" ht="18" hidden="false" customHeight="true" outlineLevel="0" collapsed="false">
      <c r="B33" s="23" t="n">
        <v>29</v>
      </c>
      <c r="C33" s="24" t="s">
        <v>64</v>
      </c>
      <c r="D33" s="24" t="s">
        <v>170</v>
      </c>
      <c r="E33" s="24" t="n">
        <v>1000</v>
      </c>
      <c r="F33" s="29" t="s">
        <v>171</v>
      </c>
      <c r="G33" s="24" t="s">
        <v>227</v>
      </c>
      <c r="H33" s="24" t="s">
        <v>145</v>
      </c>
      <c r="I33" s="26" t="n">
        <v>1</v>
      </c>
      <c r="J33" s="27" t="s">
        <v>146</v>
      </c>
      <c r="K33" s="24" t="s">
        <v>228</v>
      </c>
      <c r="L33" s="24" t="n">
        <v>6</v>
      </c>
      <c r="M33" s="27" t="n">
        <v>7</v>
      </c>
      <c r="N33" s="28"/>
    </row>
    <row r="34" customFormat="false" ht="18" hidden="false" customHeight="true" outlineLevel="0" collapsed="false">
      <c r="B34" s="23" t="n">
        <v>30</v>
      </c>
      <c r="C34" s="24" t="s">
        <v>64</v>
      </c>
      <c r="D34" s="24" t="s">
        <v>170</v>
      </c>
      <c r="E34" s="24" t="n">
        <v>1000</v>
      </c>
      <c r="F34" s="29" t="s">
        <v>162</v>
      </c>
      <c r="G34" s="24" t="s">
        <v>229</v>
      </c>
      <c r="H34" s="24" t="s">
        <v>145</v>
      </c>
      <c r="I34" s="26" t="n">
        <v>1</v>
      </c>
      <c r="J34" s="27" t="s">
        <v>173</v>
      </c>
      <c r="K34" s="24" t="s">
        <v>230</v>
      </c>
      <c r="L34" s="24" t="n">
        <v>8</v>
      </c>
      <c r="M34" s="27" t="n">
        <v>7</v>
      </c>
      <c r="N34" s="28"/>
    </row>
    <row r="35" customFormat="false" ht="18" hidden="false" customHeight="true" outlineLevel="0" collapsed="false">
      <c r="B35" s="23" t="n">
        <v>31</v>
      </c>
      <c r="C35" s="24" t="s">
        <v>64</v>
      </c>
      <c r="D35" s="24" t="s">
        <v>231</v>
      </c>
      <c r="E35" s="24" t="n">
        <v>1000</v>
      </c>
      <c r="F35" s="29" t="s">
        <v>201</v>
      </c>
      <c r="G35" s="24" t="s">
        <v>232</v>
      </c>
      <c r="H35" s="24" t="s">
        <v>145</v>
      </c>
      <c r="I35" s="26" t="n">
        <v>1</v>
      </c>
      <c r="J35" s="27" t="s">
        <v>173</v>
      </c>
      <c r="K35" s="24" t="s">
        <v>233</v>
      </c>
      <c r="L35" s="24" t="n">
        <v>6</v>
      </c>
      <c r="M35" s="27" t="n">
        <v>10</v>
      </c>
      <c r="N35" s="28"/>
    </row>
    <row r="36" customFormat="false" ht="18" hidden="false" customHeight="true" outlineLevel="0" collapsed="false">
      <c r="B36" s="23" t="n">
        <v>32</v>
      </c>
      <c r="C36" s="24" t="s">
        <v>81</v>
      </c>
      <c r="D36" s="24" t="s">
        <v>177</v>
      </c>
      <c r="E36" s="24" t="n">
        <v>1000</v>
      </c>
      <c r="F36" s="29" t="s">
        <v>171</v>
      </c>
      <c r="G36" s="24" t="s">
        <v>234</v>
      </c>
      <c r="H36" s="24" t="s">
        <v>145</v>
      </c>
      <c r="I36" s="26" t="n">
        <v>1</v>
      </c>
      <c r="J36" s="27" t="s">
        <v>146</v>
      </c>
      <c r="K36" s="24" t="s">
        <v>235</v>
      </c>
      <c r="L36" s="24" t="n">
        <v>4</v>
      </c>
      <c r="M36" s="27" t="n">
        <v>7</v>
      </c>
      <c r="N36" s="28"/>
    </row>
    <row r="37" customFormat="false" ht="18" hidden="false" customHeight="true" outlineLevel="0" collapsed="false">
      <c r="B37" s="23" t="n">
        <v>33</v>
      </c>
      <c r="C37" s="24" t="s">
        <v>81</v>
      </c>
      <c r="D37" s="24" t="s">
        <v>177</v>
      </c>
      <c r="E37" s="24" t="n">
        <v>1000</v>
      </c>
      <c r="F37" s="29" t="s">
        <v>223</v>
      </c>
      <c r="G37" s="24" t="s">
        <v>236</v>
      </c>
      <c r="H37" s="24" t="s">
        <v>145</v>
      </c>
      <c r="I37" s="26" t="n">
        <v>2</v>
      </c>
      <c r="J37" s="27" t="s">
        <v>225</v>
      </c>
      <c r="K37" s="24" t="s">
        <v>237</v>
      </c>
      <c r="L37" s="24" t="n">
        <v>6</v>
      </c>
      <c r="M37" s="27" t="n">
        <v>5</v>
      </c>
      <c r="N37" s="28"/>
    </row>
    <row r="38" customFormat="false" ht="18" hidden="false" customHeight="true" outlineLevel="0" collapsed="false">
      <c r="B38" s="23" t="n">
        <v>34</v>
      </c>
      <c r="C38" s="24" t="s">
        <v>98</v>
      </c>
      <c r="D38" s="24" t="s">
        <v>179</v>
      </c>
      <c r="E38" s="24" t="n">
        <v>1000</v>
      </c>
      <c r="F38" s="29" t="s">
        <v>171</v>
      </c>
      <c r="G38" s="24" t="s">
        <v>238</v>
      </c>
      <c r="H38" s="24" t="s">
        <v>145</v>
      </c>
      <c r="I38" s="26" t="n">
        <v>1</v>
      </c>
      <c r="J38" s="27" t="s">
        <v>146</v>
      </c>
      <c r="K38" s="24" t="s">
        <v>239</v>
      </c>
      <c r="L38" s="24" t="n">
        <v>4</v>
      </c>
      <c r="M38" s="27" t="n">
        <v>7</v>
      </c>
      <c r="N38" s="28"/>
    </row>
    <row r="39" customFormat="false" ht="18" hidden="false" customHeight="true" outlineLevel="0" collapsed="false">
      <c r="B39" s="23" t="n">
        <v>35</v>
      </c>
      <c r="C39" s="24" t="s">
        <v>98</v>
      </c>
      <c r="D39" s="24" t="s">
        <v>179</v>
      </c>
      <c r="E39" s="24" t="n">
        <v>1000</v>
      </c>
      <c r="F39" s="29" t="s">
        <v>240</v>
      </c>
      <c r="G39" s="24" t="s">
        <v>241</v>
      </c>
      <c r="H39" s="24" t="s">
        <v>145</v>
      </c>
      <c r="I39" s="26" t="n">
        <v>1</v>
      </c>
      <c r="J39" s="27" t="s">
        <v>146</v>
      </c>
      <c r="K39" s="24" t="s">
        <v>242</v>
      </c>
      <c r="L39" s="24" t="n">
        <v>3</v>
      </c>
      <c r="M39" s="27" t="n">
        <v>7</v>
      </c>
      <c r="N39" s="28"/>
    </row>
    <row r="40" customFormat="false" ht="18" hidden="false" customHeight="true" outlineLevel="0" collapsed="false">
      <c r="B40" s="23" t="n">
        <v>36</v>
      </c>
      <c r="C40" s="24" t="s">
        <v>98</v>
      </c>
      <c r="D40" s="24" t="s">
        <v>179</v>
      </c>
      <c r="E40" s="24" t="n">
        <v>1000</v>
      </c>
      <c r="F40" s="29" t="s">
        <v>223</v>
      </c>
      <c r="G40" s="24" t="s">
        <v>243</v>
      </c>
      <c r="H40" s="24" t="s">
        <v>145</v>
      </c>
      <c r="I40" s="26" t="n">
        <v>1</v>
      </c>
      <c r="J40" s="27" t="s">
        <v>146</v>
      </c>
      <c r="K40" s="24" t="s">
        <v>244</v>
      </c>
      <c r="L40" s="24" t="n">
        <v>3</v>
      </c>
      <c r="M40" s="27" t="n">
        <v>7</v>
      </c>
      <c r="N40" s="28"/>
    </row>
    <row r="41" customFormat="false" ht="18" hidden="false" customHeight="true" outlineLevel="0" collapsed="false">
      <c r="B41" s="23" t="n">
        <v>37</v>
      </c>
      <c r="C41" s="24" t="s">
        <v>141</v>
      </c>
      <c r="D41" s="24" t="s">
        <v>142</v>
      </c>
      <c r="E41" s="24" t="n">
        <v>1000</v>
      </c>
      <c r="F41" s="29" t="s">
        <v>193</v>
      </c>
      <c r="G41" s="24" t="s">
        <v>245</v>
      </c>
      <c r="H41" s="24" t="s">
        <v>187</v>
      </c>
      <c r="I41" s="26" t="n">
        <v>2</v>
      </c>
      <c r="J41" s="27" t="s">
        <v>188</v>
      </c>
      <c r="K41" s="24" t="s">
        <v>246</v>
      </c>
      <c r="L41" s="24" t="n">
        <v>0</v>
      </c>
      <c r="M41" s="27" t="n">
        <v>3</v>
      </c>
      <c r="N41" s="28"/>
    </row>
    <row r="42" customFormat="false" ht="18" hidden="false" customHeight="true" outlineLevel="0" collapsed="false">
      <c r="B42" s="23" t="n">
        <v>38</v>
      </c>
      <c r="C42" s="24" t="s">
        <v>141</v>
      </c>
      <c r="D42" s="24" t="s">
        <v>142</v>
      </c>
      <c r="E42" s="24" t="n">
        <v>1000</v>
      </c>
      <c r="F42" s="29" t="s">
        <v>143</v>
      </c>
      <c r="G42" s="24" t="s">
        <v>247</v>
      </c>
      <c r="H42" s="24" t="s">
        <v>159</v>
      </c>
      <c r="I42" s="26" t="n">
        <v>1</v>
      </c>
      <c r="J42" s="27" t="s">
        <v>248</v>
      </c>
      <c r="K42" s="24" t="s">
        <v>249</v>
      </c>
      <c r="L42" s="24" t="n">
        <v>0</v>
      </c>
      <c r="M42" s="27" t="n">
        <v>0</v>
      </c>
      <c r="N42" s="28"/>
    </row>
    <row r="43" customFormat="false" ht="18" hidden="false" customHeight="true" outlineLevel="0" collapsed="false">
      <c r="B43" s="23" t="n">
        <v>39</v>
      </c>
      <c r="C43" s="24" t="s">
        <v>141</v>
      </c>
      <c r="D43" s="24" t="s">
        <v>142</v>
      </c>
      <c r="E43" s="24" t="n">
        <v>1000</v>
      </c>
      <c r="F43" s="29" t="s">
        <v>250</v>
      </c>
      <c r="G43" s="24" t="s">
        <v>251</v>
      </c>
      <c r="H43" s="24" t="s">
        <v>159</v>
      </c>
      <c r="I43" s="26" t="n">
        <v>1</v>
      </c>
      <c r="J43" s="27" t="s">
        <v>173</v>
      </c>
      <c r="K43" s="24" t="s">
        <v>252</v>
      </c>
      <c r="L43" s="24" t="n">
        <v>0</v>
      </c>
      <c r="M43" s="27" t="n">
        <v>0</v>
      </c>
      <c r="N43" s="28"/>
    </row>
    <row r="44" customFormat="false" ht="18" hidden="false" customHeight="true" outlineLevel="0" collapsed="false">
      <c r="B44" s="23" t="n">
        <v>40</v>
      </c>
      <c r="C44" s="24" t="s">
        <v>43</v>
      </c>
      <c r="D44" s="24" t="s">
        <v>161</v>
      </c>
      <c r="E44" s="24" t="n">
        <v>1000</v>
      </c>
      <c r="F44" s="29" t="s">
        <v>253</v>
      </c>
      <c r="G44" s="24" t="s">
        <v>254</v>
      </c>
      <c r="H44" s="24" t="s">
        <v>159</v>
      </c>
      <c r="I44" s="26" t="n">
        <v>1</v>
      </c>
      <c r="J44" s="27" t="s">
        <v>173</v>
      </c>
      <c r="K44" s="24" t="s">
        <v>255</v>
      </c>
      <c r="L44" s="24" t="n">
        <v>2</v>
      </c>
      <c r="M44" s="27" t="n">
        <v>21</v>
      </c>
      <c r="N44" s="28"/>
    </row>
    <row r="45" customFormat="false" ht="18" hidden="false" customHeight="true" outlineLevel="0" collapsed="false">
      <c r="B45" s="23" t="n">
        <v>41</v>
      </c>
      <c r="C45" s="24" t="s">
        <v>64</v>
      </c>
      <c r="D45" s="24" t="s">
        <v>170</v>
      </c>
      <c r="E45" s="24" t="n">
        <v>1000</v>
      </c>
      <c r="F45" s="29" t="s">
        <v>201</v>
      </c>
      <c r="G45" s="24" t="s">
        <v>256</v>
      </c>
      <c r="H45" s="24" t="s">
        <v>159</v>
      </c>
      <c r="I45" s="26" t="n">
        <v>1</v>
      </c>
      <c r="J45" s="27" t="s">
        <v>173</v>
      </c>
      <c r="K45" s="24" t="s">
        <v>257</v>
      </c>
      <c r="L45" s="24" t="n">
        <v>2</v>
      </c>
      <c r="M45" s="27" t="n">
        <v>30</v>
      </c>
      <c r="N45" s="28"/>
    </row>
    <row r="46" customFormat="false" ht="18" hidden="false" customHeight="true" outlineLevel="0" collapsed="false">
      <c r="B46" s="23" t="n">
        <v>42</v>
      </c>
      <c r="C46" s="24" t="s">
        <v>141</v>
      </c>
      <c r="D46" s="24" t="s">
        <v>142</v>
      </c>
      <c r="E46" s="24" t="n">
        <v>1500</v>
      </c>
      <c r="F46" s="30" t="s">
        <v>143</v>
      </c>
      <c r="G46" s="24" t="s">
        <v>258</v>
      </c>
      <c r="H46" s="24" t="s">
        <v>145</v>
      </c>
      <c r="I46" s="26" t="n">
        <v>1</v>
      </c>
      <c r="J46" s="27" t="s">
        <v>214</v>
      </c>
      <c r="K46" s="24" t="s">
        <v>259</v>
      </c>
      <c r="L46" s="24" t="n">
        <v>0</v>
      </c>
      <c r="M46" s="27" t="n">
        <v>0</v>
      </c>
      <c r="N46" s="28"/>
    </row>
    <row r="47" customFormat="false" ht="18" hidden="false" customHeight="true" outlineLevel="0" collapsed="false">
      <c r="B47" s="23" t="n">
        <v>43</v>
      </c>
      <c r="C47" s="24" t="s">
        <v>141</v>
      </c>
      <c r="D47" s="24" t="s">
        <v>142</v>
      </c>
      <c r="E47" s="24" t="n">
        <v>1500</v>
      </c>
      <c r="F47" s="30" t="s">
        <v>153</v>
      </c>
      <c r="G47" s="24" t="s">
        <v>260</v>
      </c>
      <c r="H47" s="24" t="s">
        <v>145</v>
      </c>
      <c r="I47" s="26" t="n">
        <v>1</v>
      </c>
      <c r="J47" s="27" t="s">
        <v>173</v>
      </c>
      <c r="K47" s="24" t="s">
        <v>261</v>
      </c>
      <c r="L47" s="24" t="n">
        <v>24</v>
      </c>
      <c r="M47" s="27" t="n">
        <v>5</v>
      </c>
      <c r="N47" s="28"/>
    </row>
    <row r="48" customFormat="false" ht="18" hidden="false" customHeight="true" outlineLevel="0" collapsed="false">
      <c r="B48" s="23" t="n">
        <v>44</v>
      </c>
      <c r="C48" s="24" t="s">
        <v>141</v>
      </c>
      <c r="D48" s="24" t="s">
        <v>142</v>
      </c>
      <c r="E48" s="24" t="n">
        <v>1500</v>
      </c>
      <c r="F48" s="30" t="s">
        <v>162</v>
      </c>
      <c r="G48" s="24" t="s">
        <v>262</v>
      </c>
      <c r="H48" s="24" t="s">
        <v>145</v>
      </c>
      <c r="I48" s="26" t="n">
        <v>1</v>
      </c>
      <c r="J48" s="27" t="s">
        <v>173</v>
      </c>
      <c r="K48" s="24" t="s">
        <v>263</v>
      </c>
      <c r="L48" s="24" t="n">
        <v>12</v>
      </c>
      <c r="M48" s="27" t="n">
        <v>7</v>
      </c>
      <c r="N48" s="28"/>
    </row>
    <row r="49" customFormat="false" ht="18" hidden="false" customHeight="true" outlineLevel="0" collapsed="false">
      <c r="B49" s="23" t="n">
        <v>45</v>
      </c>
      <c r="C49" s="24" t="s">
        <v>64</v>
      </c>
      <c r="D49" s="24" t="s">
        <v>170</v>
      </c>
      <c r="E49" s="24" t="n">
        <v>1500</v>
      </c>
      <c r="F49" s="30" t="s">
        <v>171</v>
      </c>
      <c r="G49" s="24" t="s">
        <v>264</v>
      </c>
      <c r="H49" s="24" t="s">
        <v>145</v>
      </c>
      <c r="I49" s="26" t="n">
        <v>1</v>
      </c>
      <c r="J49" s="27" t="s">
        <v>173</v>
      </c>
      <c r="K49" s="24" t="s">
        <v>265</v>
      </c>
      <c r="L49" s="24" t="n">
        <v>10</v>
      </c>
      <c r="M49" s="27" t="n">
        <v>7</v>
      </c>
      <c r="N49" s="28"/>
    </row>
    <row r="50" customFormat="false" ht="18" hidden="false" customHeight="true" outlineLevel="0" collapsed="false">
      <c r="B50" s="23" t="n">
        <v>46</v>
      </c>
      <c r="C50" s="24" t="s">
        <v>141</v>
      </c>
      <c r="D50" s="24" t="s">
        <v>142</v>
      </c>
      <c r="E50" s="24" t="n">
        <v>1500</v>
      </c>
      <c r="F50" s="30" t="s">
        <v>193</v>
      </c>
      <c r="G50" s="24" t="s">
        <v>266</v>
      </c>
      <c r="H50" s="24" t="s">
        <v>187</v>
      </c>
      <c r="I50" s="26" t="n">
        <v>3</v>
      </c>
      <c r="J50" s="27" t="s">
        <v>188</v>
      </c>
      <c r="K50" s="24" t="s">
        <v>267</v>
      </c>
      <c r="L50" s="24" t="n">
        <v>0</v>
      </c>
      <c r="M50" s="27" t="n">
        <v>3</v>
      </c>
      <c r="N50" s="28"/>
    </row>
    <row r="51" customFormat="false" ht="18" hidden="false" customHeight="true" outlineLevel="0" collapsed="false">
      <c r="B51" s="23" t="n">
        <v>47</v>
      </c>
      <c r="C51" s="24" t="s">
        <v>141</v>
      </c>
      <c r="D51" s="24" t="s">
        <v>142</v>
      </c>
      <c r="E51" s="24" t="n">
        <v>1500</v>
      </c>
      <c r="F51" s="30" t="s">
        <v>185</v>
      </c>
      <c r="G51" s="24" t="s">
        <v>268</v>
      </c>
      <c r="H51" s="24" t="s">
        <v>159</v>
      </c>
      <c r="I51" s="26" t="n">
        <v>1</v>
      </c>
      <c r="J51" s="27" t="s">
        <v>146</v>
      </c>
      <c r="K51" s="24" t="s">
        <v>269</v>
      </c>
      <c r="L51" s="24" t="n">
        <v>2</v>
      </c>
      <c r="M51" s="27" t="n">
        <v>7</v>
      </c>
      <c r="N51" s="28"/>
    </row>
    <row r="52" customFormat="false" ht="18" hidden="false" customHeight="true" outlineLevel="0" collapsed="false">
      <c r="B52" s="23" t="n">
        <v>48</v>
      </c>
      <c r="C52" s="24" t="s">
        <v>43</v>
      </c>
      <c r="D52" s="24" t="s">
        <v>161</v>
      </c>
      <c r="E52" s="24" t="n">
        <v>1500</v>
      </c>
      <c r="F52" s="30" t="s">
        <v>162</v>
      </c>
      <c r="G52" s="24" t="s">
        <v>270</v>
      </c>
      <c r="H52" s="24" t="s">
        <v>159</v>
      </c>
      <c r="I52" s="26" t="n">
        <v>1</v>
      </c>
      <c r="J52" s="27" t="s">
        <v>271</v>
      </c>
      <c r="K52" s="24" t="s">
        <v>272</v>
      </c>
      <c r="L52" s="24" t="n">
        <v>0</v>
      </c>
      <c r="M52" s="27" t="n">
        <v>0</v>
      </c>
      <c r="N52" s="28"/>
    </row>
    <row r="53" customFormat="false" ht="18" hidden="false" customHeight="true" outlineLevel="0" collapsed="false">
      <c r="B53" s="23" t="n">
        <v>49</v>
      </c>
      <c r="C53" s="24" t="s">
        <v>81</v>
      </c>
      <c r="D53" s="24" t="s">
        <v>177</v>
      </c>
      <c r="E53" s="24" t="n">
        <v>1500</v>
      </c>
      <c r="F53" s="30" t="s">
        <v>196</v>
      </c>
      <c r="G53" s="24" t="s">
        <v>273</v>
      </c>
      <c r="H53" s="24" t="s">
        <v>159</v>
      </c>
      <c r="I53" s="26" t="n">
        <v>1</v>
      </c>
      <c r="J53" s="27" t="s">
        <v>173</v>
      </c>
      <c r="K53" s="24" t="s">
        <v>274</v>
      </c>
      <c r="L53" s="24" t="n">
        <v>1</v>
      </c>
      <c r="M53" s="27" t="n">
        <v>14</v>
      </c>
      <c r="N53" s="28"/>
    </row>
    <row r="54" customFormat="false" ht="18" hidden="false" customHeight="true" outlineLevel="0" collapsed="false">
      <c r="B54" s="23" t="n">
        <v>50</v>
      </c>
      <c r="C54" s="24" t="s">
        <v>64</v>
      </c>
      <c r="D54" s="24" t="s">
        <v>170</v>
      </c>
      <c r="E54" s="24" t="n">
        <v>1500</v>
      </c>
      <c r="F54" s="30" t="s">
        <v>275</v>
      </c>
      <c r="G54" s="24" t="s">
        <v>276</v>
      </c>
      <c r="H54" s="24" t="s">
        <v>159</v>
      </c>
      <c r="I54" s="26" t="n">
        <v>1</v>
      </c>
      <c r="J54" s="27" t="s">
        <v>173</v>
      </c>
      <c r="K54" s="24" t="s">
        <v>277</v>
      </c>
      <c r="L54" s="24" t="n">
        <v>2</v>
      </c>
      <c r="M54" s="27" t="n">
        <v>14</v>
      </c>
      <c r="N54" s="28"/>
    </row>
    <row r="55" customFormat="false" ht="18" hidden="false" customHeight="true" outlineLevel="0" collapsed="false">
      <c r="B55" s="23" t="n">
        <v>51</v>
      </c>
      <c r="C55" s="24" t="s">
        <v>98</v>
      </c>
      <c r="D55" s="24" t="s">
        <v>179</v>
      </c>
      <c r="E55" s="24" t="n">
        <v>1500</v>
      </c>
      <c r="F55" s="30" t="s">
        <v>208</v>
      </c>
      <c r="G55" s="24" t="s">
        <v>278</v>
      </c>
      <c r="H55" s="24" t="s">
        <v>159</v>
      </c>
      <c r="I55" s="26" t="n">
        <v>1</v>
      </c>
      <c r="J55" s="27" t="s">
        <v>173</v>
      </c>
      <c r="K55" s="24" t="s">
        <v>279</v>
      </c>
      <c r="L55" s="24" t="n">
        <v>2</v>
      </c>
      <c r="M55" s="27" t="n">
        <v>21</v>
      </c>
      <c r="N55" s="28"/>
    </row>
    <row r="56" customFormat="false" ht="18" hidden="false" customHeight="true" outlineLevel="0" collapsed="false">
      <c r="B56" s="23" t="n">
        <v>52</v>
      </c>
      <c r="C56" s="24" t="s">
        <v>141</v>
      </c>
      <c r="D56" s="24" t="s">
        <v>142</v>
      </c>
      <c r="E56" s="24" t="n">
        <v>1500</v>
      </c>
      <c r="F56" s="30" t="s">
        <v>280</v>
      </c>
      <c r="G56" s="24" t="s">
        <v>281</v>
      </c>
      <c r="H56" s="24" t="s">
        <v>159</v>
      </c>
      <c r="I56" s="26" t="n">
        <v>1</v>
      </c>
      <c r="J56" s="27" t="s">
        <v>173</v>
      </c>
      <c r="K56" s="24" t="s">
        <v>282</v>
      </c>
      <c r="L56" s="24" t="n">
        <v>2</v>
      </c>
      <c r="M56" s="27" t="n">
        <v>7</v>
      </c>
      <c r="N56" s="28"/>
    </row>
    <row r="57" customFormat="false" ht="18" hidden="false" customHeight="true" outlineLevel="0" collapsed="false">
      <c r="B57" s="23" t="n">
        <v>53</v>
      </c>
      <c r="C57" s="24" t="s">
        <v>141</v>
      </c>
      <c r="D57" s="24" t="s">
        <v>142</v>
      </c>
      <c r="E57" s="24" t="n">
        <v>2000</v>
      </c>
      <c r="F57" s="31" t="s">
        <v>143</v>
      </c>
      <c r="G57" s="24" t="s">
        <v>283</v>
      </c>
      <c r="H57" s="24" t="s">
        <v>145</v>
      </c>
      <c r="I57" s="26" t="n">
        <v>1</v>
      </c>
      <c r="J57" s="27" t="s">
        <v>214</v>
      </c>
      <c r="K57" s="24" t="s">
        <v>284</v>
      </c>
      <c r="L57" s="24" t="n">
        <v>0</v>
      </c>
      <c r="M57" s="27" t="n">
        <v>0</v>
      </c>
      <c r="N57" s="28"/>
    </row>
    <row r="58" customFormat="false" ht="18" hidden="false" customHeight="true" outlineLevel="0" collapsed="false">
      <c r="B58" s="23" t="n">
        <v>54</v>
      </c>
      <c r="C58" s="24" t="s">
        <v>141</v>
      </c>
      <c r="D58" s="24" t="s">
        <v>142</v>
      </c>
      <c r="E58" s="24" t="n">
        <v>2000</v>
      </c>
      <c r="F58" s="31" t="s">
        <v>162</v>
      </c>
      <c r="G58" s="24" t="s">
        <v>285</v>
      </c>
      <c r="H58" s="24" t="s">
        <v>145</v>
      </c>
      <c r="I58" s="26" t="n">
        <v>1</v>
      </c>
      <c r="J58" s="27" t="s">
        <v>146</v>
      </c>
      <c r="K58" s="24" t="s">
        <v>286</v>
      </c>
      <c r="L58" s="24" t="n">
        <v>10</v>
      </c>
      <c r="M58" s="27" t="n">
        <v>7</v>
      </c>
      <c r="N58" s="28"/>
    </row>
    <row r="59" customFormat="false" ht="18" hidden="false" customHeight="true" outlineLevel="0" collapsed="false">
      <c r="B59" s="23" t="n">
        <v>55</v>
      </c>
      <c r="C59" s="24" t="s">
        <v>43</v>
      </c>
      <c r="D59" s="24" t="s">
        <v>161</v>
      </c>
      <c r="E59" s="24" t="n">
        <v>2000</v>
      </c>
      <c r="F59" s="31" t="s">
        <v>162</v>
      </c>
      <c r="G59" s="24" t="s">
        <v>287</v>
      </c>
      <c r="H59" s="24" t="s">
        <v>145</v>
      </c>
      <c r="I59" s="26" t="n">
        <v>1</v>
      </c>
      <c r="J59" s="27" t="s">
        <v>149</v>
      </c>
      <c r="K59" s="24" t="s">
        <v>288</v>
      </c>
      <c r="L59" s="24" t="n">
        <v>8</v>
      </c>
      <c r="M59" s="27" t="n">
        <v>7</v>
      </c>
      <c r="N59" s="28"/>
    </row>
    <row r="60" customFormat="false" ht="18" hidden="false" customHeight="true" outlineLevel="0" collapsed="false">
      <c r="B60" s="23" t="n">
        <v>56</v>
      </c>
      <c r="C60" s="24" t="s">
        <v>64</v>
      </c>
      <c r="D60" s="24" t="s">
        <v>170</v>
      </c>
      <c r="E60" s="24" t="n">
        <v>2000</v>
      </c>
      <c r="F60" s="31" t="s">
        <v>162</v>
      </c>
      <c r="G60" s="24" t="s">
        <v>289</v>
      </c>
      <c r="H60" s="24" t="s">
        <v>145</v>
      </c>
      <c r="I60" s="26" t="n">
        <v>1</v>
      </c>
      <c r="J60" s="27" t="s">
        <v>146</v>
      </c>
      <c r="K60" s="24" t="s">
        <v>290</v>
      </c>
      <c r="L60" s="24" t="n">
        <v>8</v>
      </c>
      <c r="M60" s="27" t="n">
        <v>7</v>
      </c>
      <c r="N60" s="28"/>
    </row>
    <row r="61" customFormat="false" ht="18" hidden="false" customHeight="true" outlineLevel="0" collapsed="false">
      <c r="B61" s="23" t="n">
        <v>57</v>
      </c>
      <c r="C61" s="24" t="s">
        <v>64</v>
      </c>
      <c r="D61" s="24" t="s">
        <v>231</v>
      </c>
      <c r="E61" s="24" t="n">
        <v>2000</v>
      </c>
      <c r="F61" s="31" t="s">
        <v>201</v>
      </c>
      <c r="G61" s="24" t="s">
        <v>291</v>
      </c>
      <c r="H61" s="24" t="s">
        <v>145</v>
      </c>
      <c r="I61" s="26" t="n">
        <v>1</v>
      </c>
      <c r="J61" s="27" t="s">
        <v>146</v>
      </c>
      <c r="K61" s="24" t="s">
        <v>292</v>
      </c>
      <c r="L61" s="24" t="n">
        <v>4</v>
      </c>
      <c r="M61" s="27" t="n">
        <v>7</v>
      </c>
      <c r="N61" s="28"/>
    </row>
    <row r="62" customFormat="false" ht="18" hidden="false" customHeight="true" outlineLevel="0" collapsed="false">
      <c r="B62" s="23" t="n">
        <v>58</v>
      </c>
      <c r="C62" s="24" t="s">
        <v>64</v>
      </c>
      <c r="D62" s="24" t="s">
        <v>170</v>
      </c>
      <c r="E62" s="24" t="n">
        <v>2000</v>
      </c>
      <c r="F62" s="31" t="s">
        <v>275</v>
      </c>
      <c r="G62" s="24" t="s">
        <v>293</v>
      </c>
      <c r="H62" s="24" t="s">
        <v>145</v>
      </c>
      <c r="I62" s="26" t="n">
        <v>1</v>
      </c>
      <c r="J62" s="27" t="s">
        <v>146</v>
      </c>
      <c r="K62" s="24" t="s">
        <v>294</v>
      </c>
      <c r="L62" s="24" t="n">
        <v>4</v>
      </c>
      <c r="M62" s="27" t="n">
        <v>5</v>
      </c>
      <c r="N62" s="28"/>
    </row>
    <row r="63" customFormat="false" ht="18" hidden="false" customHeight="true" outlineLevel="0" collapsed="false">
      <c r="B63" s="23" t="n">
        <v>59</v>
      </c>
      <c r="C63" s="24" t="s">
        <v>64</v>
      </c>
      <c r="D63" s="24" t="s">
        <v>170</v>
      </c>
      <c r="E63" s="24" t="n">
        <v>2000</v>
      </c>
      <c r="F63" s="31" t="s">
        <v>275</v>
      </c>
      <c r="G63" s="24" t="s">
        <v>295</v>
      </c>
      <c r="H63" s="24" t="s">
        <v>145</v>
      </c>
      <c r="I63" s="26" t="n">
        <v>2</v>
      </c>
      <c r="J63" s="27" t="s">
        <v>225</v>
      </c>
      <c r="K63" s="24" t="s">
        <v>296</v>
      </c>
      <c r="L63" s="24" t="n">
        <v>6</v>
      </c>
      <c r="M63" s="27" t="n">
        <v>5</v>
      </c>
      <c r="N63" s="28"/>
    </row>
    <row r="64" customFormat="false" ht="18" hidden="false" customHeight="true" outlineLevel="0" collapsed="false">
      <c r="B64" s="23" t="n">
        <v>60</v>
      </c>
      <c r="C64" s="24" t="s">
        <v>81</v>
      </c>
      <c r="D64" s="24" t="s">
        <v>177</v>
      </c>
      <c r="E64" s="24" t="n">
        <v>2000</v>
      </c>
      <c r="F64" s="31" t="s">
        <v>162</v>
      </c>
      <c r="G64" s="24" t="s">
        <v>297</v>
      </c>
      <c r="H64" s="24" t="s">
        <v>145</v>
      </c>
      <c r="I64" s="26" t="n">
        <v>1</v>
      </c>
      <c r="J64" s="27" t="s">
        <v>146</v>
      </c>
      <c r="K64" s="24" t="s">
        <v>298</v>
      </c>
      <c r="L64" s="24" t="n">
        <v>6</v>
      </c>
      <c r="M64" s="27" t="n">
        <v>7</v>
      </c>
      <c r="N64" s="28"/>
    </row>
    <row r="65" customFormat="false" ht="18" hidden="false" customHeight="true" outlineLevel="0" collapsed="false">
      <c r="B65" s="23" t="n">
        <v>61</v>
      </c>
      <c r="C65" s="24" t="s">
        <v>81</v>
      </c>
      <c r="D65" s="24" t="s">
        <v>177</v>
      </c>
      <c r="E65" s="24" t="n">
        <v>2000</v>
      </c>
      <c r="F65" s="31" t="s">
        <v>223</v>
      </c>
      <c r="G65" s="24" t="s">
        <v>299</v>
      </c>
      <c r="H65" s="24" t="s">
        <v>145</v>
      </c>
      <c r="I65" s="26" t="n">
        <v>2</v>
      </c>
      <c r="J65" s="27" t="s">
        <v>225</v>
      </c>
      <c r="K65" s="24" t="s">
        <v>300</v>
      </c>
      <c r="L65" s="24" t="n">
        <v>6</v>
      </c>
      <c r="M65" s="27" t="n">
        <v>5</v>
      </c>
      <c r="N65" s="28"/>
    </row>
    <row r="66" customFormat="false" ht="18" hidden="false" customHeight="true" outlineLevel="0" collapsed="false">
      <c r="B66" s="23" t="n">
        <v>62</v>
      </c>
      <c r="C66" s="24" t="s">
        <v>98</v>
      </c>
      <c r="D66" s="24" t="s">
        <v>179</v>
      </c>
      <c r="E66" s="24" t="n">
        <v>2000</v>
      </c>
      <c r="F66" s="31" t="s">
        <v>162</v>
      </c>
      <c r="G66" s="24" t="s">
        <v>301</v>
      </c>
      <c r="H66" s="24" t="s">
        <v>145</v>
      </c>
      <c r="I66" s="26" t="n">
        <v>1</v>
      </c>
      <c r="J66" s="27" t="s">
        <v>146</v>
      </c>
      <c r="K66" s="24" t="s">
        <v>302</v>
      </c>
      <c r="L66" s="24" t="n">
        <v>4</v>
      </c>
      <c r="M66" s="27" t="n">
        <v>7</v>
      </c>
      <c r="N66" s="28"/>
    </row>
    <row r="67" customFormat="false" ht="18" hidden="false" customHeight="true" outlineLevel="0" collapsed="false">
      <c r="B67" s="23" t="n">
        <v>63</v>
      </c>
      <c r="C67" s="24" t="s">
        <v>141</v>
      </c>
      <c r="D67" s="24" t="s">
        <v>142</v>
      </c>
      <c r="E67" s="24" t="n">
        <v>2000</v>
      </c>
      <c r="F67" s="31" t="s">
        <v>185</v>
      </c>
      <c r="G67" s="24" t="s">
        <v>303</v>
      </c>
      <c r="H67" s="24" t="s">
        <v>145</v>
      </c>
      <c r="I67" s="26" t="n">
        <v>1</v>
      </c>
      <c r="J67" s="27" t="s">
        <v>146</v>
      </c>
      <c r="K67" s="24" t="s">
        <v>304</v>
      </c>
      <c r="L67" s="24" t="n">
        <v>4</v>
      </c>
      <c r="M67" s="27" t="n">
        <v>7</v>
      </c>
      <c r="N67" s="28"/>
    </row>
    <row r="68" customFormat="false" ht="18" hidden="false" customHeight="true" outlineLevel="0" collapsed="false">
      <c r="B68" s="23" t="n">
        <v>64</v>
      </c>
      <c r="C68" s="24" t="s">
        <v>141</v>
      </c>
      <c r="D68" s="24" t="s">
        <v>142</v>
      </c>
      <c r="E68" s="24" t="n">
        <v>2000</v>
      </c>
      <c r="F68" s="31" t="s">
        <v>143</v>
      </c>
      <c r="G68" s="24" t="s">
        <v>305</v>
      </c>
      <c r="H68" s="24" t="s">
        <v>159</v>
      </c>
      <c r="I68" s="26" t="n">
        <v>1</v>
      </c>
      <c r="J68" s="27" t="s">
        <v>146</v>
      </c>
      <c r="K68" s="24" t="s">
        <v>306</v>
      </c>
      <c r="L68" s="24" t="n">
        <v>0</v>
      </c>
      <c r="M68" s="27" t="n">
        <v>0</v>
      </c>
      <c r="N68" s="28"/>
    </row>
    <row r="69" customFormat="false" ht="18" hidden="false" customHeight="true" outlineLevel="0" collapsed="false">
      <c r="B69" s="23" t="n">
        <v>65</v>
      </c>
      <c r="C69" s="24" t="s">
        <v>141</v>
      </c>
      <c r="D69" s="24" t="s">
        <v>142</v>
      </c>
      <c r="E69" s="24" t="n">
        <v>2000</v>
      </c>
      <c r="F69" s="31" t="s">
        <v>143</v>
      </c>
      <c r="G69" s="24" t="s">
        <v>307</v>
      </c>
      <c r="H69" s="24" t="s">
        <v>159</v>
      </c>
      <c r="I69" s="26" t="n">
        <v>1</v>
      </c>
      <c r="J69" s="27" t="s">
        <v>248</v>
      </c>
      <c r="K69" s="24" t="s">
        <v>308</v>
      </c>
      <c r="L69" s="24" t="n">
        <v>1</v>
      </c>
      <c r="M69" s="27" t="n">
        <v>21</v>
      </c>
      <c r="N69" s="28"/>
    </row>
    <row r="70" customFormat="false" ht="18" hidden="false" customHeight="true" outlineLevel="0" collapsed="false">
      <c r="B70" s="23" t="n">
        <v>66</v>
      </c>
      <c r="C70" s="24" t="s">
        <v>141</v>
      </c>
      <c r="D70" s="24" t="s">
        <v>142</v>
      </c>
      <c r="E70" s="24" t="n">
        <v>2000</v>
      </c>
      <c r="F70" s="31" t="s">
        <v>280</v>
      </c>
      <c r="G70" s="24" t="s">
        <v>309</v>
      </c>
      <c r="H70" s="24" t="s">
        <v>159</v>
      </c>
      <c r="I70" s="26" t="n">
        <v>1</v>
      </c>
      <c r="J70" s="27" t="s">
        <v>173</v>
      </c>
      <c r="K70" s="24" t="s">
        <v>310</v>
      </c>
      <c r="L70" s="24" t="n">
        <v>1</v>
      </c>
      <c r="M70" s="27" t="n">
        <v>14</v>
      </c>
      <c r="N70" s="28"/>
    </row>
    <row r="71" customFormat="false" ht="18" hidden="false" customHeight="true" outlineLevel="0" collapsed="false">
      <c r="B71" s="23" t="n">
        <v>67</v>
      </c>
      <c r="C71" s="24" t="s">
        <v>141</v>
      </c>
      <c r="D71" s="24" t="s">
        <v>142</v>
      </c>
      <c r="E71" s="24" t="n">
        <v>2000</v>
      </c>
      <c r="F71" s="31" t="s">
        <v>250</v>
      </c>
      <c r="G71" s="24" t="s">
        <v>311</v>
      </c>
      <c r="H71" s="24" t="s">
        <v>159</v>
      </c>
      <c r="I71" s="26" t="n">
        <v>1</v>
      </c>
      <c r="J71" s="27" t="s">
        <v>173</v>
      </c>
      <c r="K71" s="24" t="s">
        <v>312</v>
      </c>
      <c r="L71" s="24" t="n">
        <v>0</v>
      </c>
      <c r="M71" s="27" t="n">
        <v>0</v>
      </c>
      <c r="N71" s="28"/>
    </row>
    <row r="72" customFormat="false" ht="18" hidden="false" customHeight="true" outlineLevel="0" collapsed="false">
      <c r="B72" s="23" t="n">
        <v>68</v>
      </c>
      <c r="C72" s="24" t="s">
        <v>43</v>
      </c>
      <c r="D72" s="24" t="s">
        <v>161</v>
      </c>
      <c r="E72" s="24" t="n">
        <v>2000</v>
      </c>
      <c r="F72" s="31" t="s">
        <v>162</v>
      </c>
      <c r="G72" s="24" t="s">
        <v>313</v>
      </c>
      <c r="H72" s="24" t="s">
        <v>159</v>
      </c>
      <c r="I72" s="26" t="n">
        <v>1</v>
      </c>
      <c r="J72" s="27" t="s">
        <v>271</v>
      </c>
      <c r="K72" s="24" t="s">
        <v>314</v>
      </c>
      <c r="L72" s="24" t="n">
        <v>0</v>
      </c>
      <c r="M72" s="27" t="n">
        <v>0</v>
      </c>
      <c r="N72" s="28"/>
    </row>
    <row r="73" customFormat="false" ht="18" hidden="false" customHeight="true" outlineLevel="0" collapsed="false">
      <c r="B73" s="23" t="n">
        <v>69</v>
      </c>
      <c r="C73" s="24" t="s">
        <v>64</v>
      </c>
      <c r="D73" s="24" t="s">
        <v>170</v>
      </c>
      <c r="E73" s="24" t="n">
        <v>2000</v>
      </c>
      <c r="F73" s="31" t="s">
        <v>201</v>
      </c>
      <c r="G73" s="24" t="s">
        <v>315</v>
      </c>
      <c r="H73" s="24" t="s">
        <v>159</v>
      </c>
      <c r="I73" s="26" t="n">
        <v>1</v>
      </c>
      <c r="J73" s="27" t="s">
        <v>248</v>
      </c>
      <c r="K73" s="24" t="s">
        <v>316</v>
      </c>
      <c r="L73" s="24" t="n">
        <v>0</v>
      </c>
      <c r="M73" s="27" t="n">
        <v>0</v>
      </c>
      <c r="N73" s="28"/>
    </row>
    <row r="74" customFormat="false" ht="18" hidden="false" customHeight="true" outlineLevel="0" collapsed="false">
      <c r="B74" s="23" t="n">
        <v>70</v>
      </c>
      <c r="C74" s="24" t="s">
        <v>81</v>
      </c>
      <c r="D74" s="24" t="s">
        <v>177</v>
      </c>
      <c r="E74" s="24" t="n">
        <v>2000</v>
      </c>
      <c r="F74" s="31" t="s">
        <v>196</v>
      </c>
      <c r="G74" s="24" t="s">
        <v>317</v>
      </c>
      <c r="H74" s="24" t="s">
        <v>159</v>
      </c>
      <c r="I74" s="26" t="n">
        <v>1</v>
      </c>
      <c r="J74" s="27" t="s">
        <v>173</v>
      </c>
      <c r="K74" s="24" t="s">
        <v>318</v>
      </c>
      <c r="L74" s="24" t="n">
        <v>2</v>
      </c>
      <c r="M74" s="27" t="n">
        <v>21</v>
      </c>
      <c r="N74" s="28"/>
    </row>
    <row r="76" customFormat="false" ht="15" hidden="false" customHeight="false" outlineLevel="0" collapsed="false">
      <c r="B76" s="32" t="s">
        <v>319</v>
      </c>
      <c r="C76" s="32"/>
      <c r="D76" s="32"/>
      <c r="E76" s="32"/>
      <c r="F76" s="32"/>
      <c r="G76" s="32"/>
      <c r="H76" s="32"/>
    </row>
  </sheetData>
  <autoFilter ref="B4:L74"/>
  <mergeCells count="3">
    <mergeCell ref="B2:L2"/>
    <mergeCell ref="B3:L3"/>
    <mergeCell ref="B76:H7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S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11" min="9" style="0" width="13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22"/>
    <col collapsed="false" customWidth="true" hidden="true" outlineLevel="0" max="19" min="16" style="0" width="13"/>
  </cols>
  <sheetData>
    <row r="2" customFormat="false" ht="19.7" hidden="false" customHeight="false" outlineLevel="0" collapsed="false">
      <c r="B2" s="13" t="s">
        <v>320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customFormat="false" ht="15" hidden="false" customHeight="false" outlineLevel="0" collapsed="false">
      <c r="B3" s="14" t="str">
        <f aca="false">CONCATENATE("Site: ",01_COVER!C7,"   |   ",01_COVER!C9,"   |   Isi HM aktual (kuning). Status due dihitung ke 500 / 1000 / 1500 / 2000.")</f>
        <v>Site: Pit A — Kalimantan Selatan   |   September 2026   |   Isi HM aktual (kuning). Status due dihitung ke 500 / 1000 / 1500 / 2000.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P3" s="33" t="n">
        <v>500</v>
      </c>
      <c r="Q3" s="33" t="n">
        <v>1000</v>
      </c>
      <c r="R3" s="33" t="n">
        <v>1500</v>
      </c>
      <c r="S3" s="33" t="n">
        <v>2000</v>
      </c>
    </row>
    <row r="5" customFormat="false" ht="24" hidden="false" customHeight="true" outlineLevel="0" collapsed="false">
      <c r="B5" s="8" t="s">
        <v>35</v>
      </c>
      <c r="C5" s="8" t="s">
        <v>321</v>
      </c>
      <c r="D5" s="8" t="s">
        <v>36</v>
      </c>
      <c r="E5" s="8" t="s">
        <v>322</v>
      </c>
      <c r="F5" s="8" t="s">
        <v>37</v>
      </c>
      <c r="G5" s="8" t="s">
        <v>323</v>
      </c>
      <c r="H5" s="8" t="s">
        <v>324</v>
      </c>
      <c r="I5" s="8" t="s">
        <v>325</v>
      </c>
      <c r="J5" s="8" t="s">
        <v>326</v>
      </c>
      <c r="K5" s="8" t="s">
        <v>327</v>
      </c>
      <c r="L5" s="8" t="s">
        <v>328</v>
      </c>
      <c r="M5" s="8" t="s">
        <v>329</v>
      </c>
      <c r="N5" s="8" t="s">
        <v>330</v>
      </c>
      <c r="O5" s="8" t="s">
        <v>331</v>
      </c>
    </row>
    <row r="6" customFormat="false" ht="15" hidden="false" customHeight="false" outlineLevel="0" collapsed="false">
      <c r="B6" s="23" t="n">
        <v>1</v>
      </c>
      <c r="C6" s="34" t="s">
        <v>332</v>
      </c>
      <c r="D6" s="17" t="s">
        <v>43</v>
      </c>
      <c r="E6" s="17" t="s">
        <v>333</v>
      </c>
      <c r="F6" s="17" t="s">
        <v>48</v>
      </c>
      <c r="G6" s="35" t="n">
        <v>14250</v>
      </c>
      <c r="H6" s="36" t="n">
        <f aca="false">IF(G6="","",IF(MOD(G6,$P$3)=0,0,$P$3-MOD(G6,$P$3)))</f>
        <v>250</v>
      </c>
      <c r="I6" s="36" t="n">
        <f aca="false">IF(G6="","",IF(MOD(G6,$Q$3)=0,0,$Q$3-MOD(G6,$Q$3)))</f>
        <v>750</v>
      </c>
      <c r="J6" s="36" t="n">
        <f aca="false">IF(G6="","",IF(MOD(G6,$R$3)=0,0,$R$3-MOD(G6,$R$3)))</f>
        <v>750</v>
      </c>
      <c r="K6" s="36" t="n">
        <f aca="false">IF(G6="","",IF(MOD(G6,$S$3)=0,0,$S$3-MOD(G6,$S$3)))</f>
        <v>1750</v>
      </c>
      <c r="L6" s="37" t="str">
        <f aca="false">IF(G6="","",IF(MIN(H6,I6,J6,K6)=H6,"PM-500",IF(MIN(H6,I6,J6,K6)=I6,"PM-1000",IF(MIN(H6,I6,J6,K6)=J6,"PM-1500","PM-2000"))))</f>
        <v>PM-500</v>
      </c>
      <c r="M6" s="37" t="str">
        <f aca="false">IF(G6="","",IF(MIN(H6,I6,J6,K6)&lt;=50,"URGENT",IF(MIN(H6,I6,J6,K6)&lt;=150,"DUE MINGGU INI","JADWAL")))</f>
        <v>JADWAL</v>
      </c>
      <c r="N6" s="17" t="s">
        <v>334</v>
      </c>
      <c r="O6" s="17" t="s">
        <v>335</v>
      </c>
    </row>
    <row r="7" customFormat="false" ht="15" hidden="false" customHeight="false" outlineLevel="0" collapsed="false">
      <c r="B7" s="23" t="n">
        <v>2</v>
      </c>
      <c r="C7" s="34" t="s">
        <v>336</v>
      </c>
      <c r="D7" s="17" t="s">
        <v>43</v>
      </c>
      <c r="E7" s="17" t="s">
        <v>333</v>
      </c>
      <c r="F7" s="17" t="s">
        <v>48</v>
      </c>
      <c r="G7" s="35" t="n">
        <v>12880</v>
      </c>
      <c r="H7" s="36" t="n">
        <f aca="false">IF(G7="","",IF(MOD(G7,$P$3)=0,0,$P$3-MOD(G7,$P$3)))</f>
        <v>120</v>
      </c>
      <c r="I7" s="36" t="n">
        <f aca="false">IF(G7="","",IF(MOD(G7,$Q$3)=0,0,$Q$3-MOD(G7,$Q$3)))</f>
        <v>120</v>
      </c>
      <c r="J7" s="36" t="n">
        <f aca="false">IF(G7="","",IF(MOD(G7,$R$3)=0,0,$R$3-MOD(G7,$R$3)))</f>
        <v>620</v>
      </c>
      <c r="K7" s="36" t="n">
        <f aca="false">IF(G7="","",IF(MOD(G7,$S$3)=0,0,$S$3-MOD(G7,$S$3)))</f>
        <v>1120</v>
      </c>
      <c r="L7" s="37" t="str">
        <f aca="false">IF(G7="","",IF(MIN(H7,I7,J7,K7)=H7,"PM-500",IF(MIN(H7,I7,J7,K7)=I7,"PM-1000",IF(MIN(H7,I7,J7,K7)=J7,"PM-1500","PM-2000"))))</f>
        <v>PM-500</v>
      </c>
      <c r="M7" s="37" t="str">
        <f aca="false">IF(G7="","",IF(MIN(H7,I7,J7,K7)&lt;=50,"URGENT",IF(MIN(H7,I7,J7,K7)&lt;=150,"DUE MINGGU INI","JADWAL")))</f>
        <v>DUE MINGGU INI</v>
      </c>
      <c r="N7" s="17" t="s">
        <v>334</v>
      </c>
      <c r="O7" s="17"/>
    </row>
    <row r="8" customFormat="false" ht="15" hidden="false" customHeight="false" outlineLevel="0" collapsed="false">
      <c r="B8" s="23" t="n">
        <v>3</v>
      </c>
      <c r="C8" s="34" t="s">
        <v>337</v>
      </c>
      <c r="D8" s="17" t="s">
        <v>43</v>
      </c>
      <c r="E8" s="17" t="s">
        <v>338</v>
      </c>
      <c r="F8" s="17" t="s">
        <v>52</v>
      </c>
      <c r="G8" s="35" t="n">
        <v>6200</v>
      </c>
      <c r="H8" s="36" t="n">
        <f aca="false">IF(G8="","",IF(MOD(G8,$P$3)=0,0,$P$3-MOD(G8,$P$3)))</f>
        <v>300</v>
      </c>
      <c r="I8" s="36" t="n">
        <f aca="false">IF(G8="","",IF(MOD(G8,$Q$3)=0,0,$Q$3-MOD(G8,$Q$3)))</f>
        <v>800</v>
      </c>
      <c r="J8" s="36" t="n">
        <f aca="false">IF(G8="","",IF(MOD(G8,$R$3)=0,0,$R$3-MOD(G8,$R$3)))</f>
        <v>1300</v>
      </c>
      <c r="K8" s="36" t="n">
        <f aca="false">IF(G8="","",IF(MOD(G8,$S$3)=0,0,$S$3-MOD(G8,$S$3)))</f>
        <v>1800</v>
      </c>
      <c r="L8" s="37" t="str">
        <f aca="false">IF(G8="","",IF(MIN(H8,I8,J8,K8)=H8,"PM-500",IF(MIN(H8,I8,J8,K8)=I8,"PM-1000",IF(MIN(H8,I8,J8,K8)=J8,"PM-1500","PM-2000"))))</f>
        <v>PM-500</v>
      </c>
      <c r="M8" s="37" t="str">
        <f aca="false">IF(G8="","",IF(MIN(H8,I8,J8,K8)&lt;=50,"URGENT",IF(MIN(H8,I8,J8,K8)&lt;=150,"DUE MINGGU INI","JADWAL")))</f>
        <v>JADWAL</v>
      </c>
      <c r="N8" s="17" t="s">
        <v>339</v>
      </c>
      <c r="O8" s="17"/>
    </row>
    <row r="9" customFormat="false" ht="15" hidden="false" customHeight="false" outlineLevel="0" collapsed="false">
      <c r="B9" s="23" t="n">
        <v>4</v>
      </c>
      <c r="C9" s="34" t="s">
        <v>340</v>
      </c>
      <c r="D9" s="17" t="s">
        <v>43</v>
      </c>
      <c r="E9" s="17" t="s">
        <v>341</v>
      </c>
      <c r="F9" s="17" t="s">
        <v>52</v>
      </c>
      <c r="G9" s="35" t="n">
        <v>18900</v>
      </c>
      <c r="H9" s="36" t="n">
        <f aca="false">IF(G9="","",IF(MOD(G9,$P$3)=0,0,$P$3-MOD(G9,$P$3)))</f>
        <v>100</v>
      </c>
      <c r="I9" s="36" t="n">
        <f aca="false">IF(G9="","",IF(MOD(G9,$Q$3)=0,0,$Q$3-MOD(G9,$Q$3)))</f>
        <v>100</v>
      </c>
      <c r="J9" s="36" t="n">
        <f aca="false">IF(G9="","",IF(MOD(G9,$R$3)=0,0,$R$3-MOD(G9,$R$3)))</f>
        <v>600</v>
      </c>
      <c r="K9" s="36" t="n">
        <f aca="false">IF(G9="","",IF(MOD(G9,$S$3)=0,0,$S$3-MOD(G9,$S$3)))</f>
        <v>1100</v>
      </c>
      <c r="L9" s="37" t="str">
        <f aca="false">IF(G9="","",IF(MIN(H9,I9,J9,K9)=H9,"PM-500",IF(MIN(H9,I9,J9,K9)=I9,"PM-1000",IF(MIN(H9,I9,J9,K9)=J9,"PM-1500","PM-2000"))))</f>
        <v>PM-500</v>
      </c>
      <c r="M9" s="37" t="str">
        <f aca="false">IF(G9="","",IF(MIN(H9,I9,J9,K9)&lt;=50,"URGENT",IF(MIN(H9,I9,J9,K9)&lt;=150,"DUE MINGGU INI","JADWAL")))</f>
        <v>DUE MINGGU INI</v>
      </c>
      <c r="N9" s="17" t="s">
        <v>342</v>
      </c>
      <c r="O9" s="17" t="s">
        <v>343</v>
      </c>
    </row>
    <row r="10" customFormat="false" ht="15" hidden="false" customHeight="false" outlineLevel="0" collapsed="false">
      <c r="B10" s="23" t="n">
        <v>5</v>
      </c>
      <c r="C10" s="34" t="s">
        <v>344</v>
      </c>
      <c r="D10" s="17" t="s">
        <v>43</v>
      </c>
      <c r="E10" s="17" t="s">
        <v>345</v>
      </c>
      <c r="F10" s="17" t="s">
        <v>56</v>
      </c>
      <c r="G10" s="35" t="n">
        <v>9800</v>
      </c>
      <c r="H10" s="36" t="n">
        <f aca="false">IF(G10="","",IF(MOD(G10,$P$3)=0,0,$P$3-MOD(G10,$P$3)))</f>
        <v>200</v>
      </c>
      <c r="I10" s="36" t="n">
        <f aca="false">IF(G10="","",IF(MOD(G10,$Q$3)=0,0,$Q$3-MOD(G10,$Q$3)))</f>
        <v>200</v>
      </c>
      <c r="J10" s="36" t="n">
        <f aca="false">IF(G10="","",IF(MOD(G10,$R$3)=0,0,$R$3-MOD(G10,$R$3)))</f>
        <v>700</v>
      </c>
      <c r="K10" s="36" t="n">
        <f aca="false">IF(G10="","",IF(MOD(G10,$S$3)=0,0,$S$3-MOD(G10,$S$3)))</f>
        <v>200</v>
      </c>
      <c r="L10" s="37" t="str">
        <f aca="false">IF(G10="","",IF(MIN(H10,I10,J10,K10)=H10,"PM-500",IF(MIN(H10,I10,J10,K10)=I10,"PM-1000",IF(MIN(H10,I10,J10,K10)=J10,"PM-1500","PM-2000"))))</f>
        <v>PM-500</v>
      </c>
      <c r="M10" s="37" t="str">
        <f aca="false">IF(G10="","",IF(MIN(H10,I10,J10,K10)&lt;=50,"URGENT",IF(MIN(H10,I10,J10,K10)&lt;=150,"DUE MINGGU INI","JADWAL")))</f>
        <v>JADWAL</v>
      </c>
      <c r="N10" s="17" t="s">
        <v>346</v>
      </c>
      <c r="O10" s="17"/>
    </row>
    <row r="11" customFormat="false" ht="15" hidden="false" customHeight="false" outlineLevel="0" collapsed="false">
      <c r="B11" s="23" t="n">
        <v>6</v>
      </c>
      <c r="C11" s="34" t="s">
        <v>347</v>
      </c>
      <c r="D11" s="17" t="s">
        <v>43</v>
      </c>
      <c r="E11" s="17" t="s">
        <v>348</v>
      </c>
      <c r="F11" s="17" t="s">
        <v>56</v>
      </c>
      <c r="G11" s="35" t="n">
        <v>15400</v>
      </c>
      <c r="H11" s="36" t="n">
        <f aca="false">IF(G11="","",IF(MOD(G11,$P$3)=0,0,$P$3-MOD(G11,$P$3)))</f>
        <v>100</v>
      </c>
      <c r="I11" s="36" t="n">
        <f aca="false">IF(G11="","",IF(MOD(G11,$Q$3)=0,0,$Q$3-MOD(G11,$Q$3)))</f>
        <v>600</v>
      </c>
      <c r="J11" s="36" t="n">
        <f aca="false">IF(G11="","",IF(MOD(G11,$R$3)=0,0,$R$3-MOD(G11,$R$3)))</f>
        <v>1100</v>
      </c>
      <c r="K11" s="36" t="n">
        <f aca="false">IF(G11="","",IF(MOD(G11,$S$3)=0,0,$S$3-MOD(G11,$S$3)))</f>
        <v>600</v>
      </c>
      <c r="L11" s="37" t="str">
        <f aca="false">IF(G11="","",IF(MIN(H11,I11,J11,K11)=H11,"PM-500",IF(MIN(H11,I11,J11,K11)=I11,"PM-1000",IF(MIN(H11,I11,J11,K11)=J11,"PM-1500","PM-2000"))))</f>
        <v>PM-500</v>
      </c>
      <c r="M11" s="37" t="str">
        <f aca="false">IF(G11="","",IF(MIN(H11,I11,J11,K11)&lt;=50,"URGENT",IF(MIN(H11,I11,J11,K11)&lt;=150,"DUE MINGGU INI","JADWAL")))</f>
        <v>DUE MINGGU INI</v>
      </c>
      <c r="N11" s="17" t="s">
        <v>342</v>
      </c>
      <c r="O11" s="17" t="s">
        <v>349</v>
      </c>
    </row>
    <row r="12" customFormat="false" ht="15" hidden="false" customHeight="false" outlineLevel="0" collapsed="false">
      <c r="B12" s="23" t="n">
        <v>7</v>
      </c>
      <c r="C12" s="34" t="s">
        <v>350</v>
      </c>
      <c r="D12" s="17" t="s">
        <v>64</v>
      </c>
      <c r="E12" s="17" t="s">
        <v>351</v>
      </c>
      <c r="F12" s="17" t="s">
        <v>73</v>
      </c>
      <c r="G12" s="35" t="n">
        <v>20110</v>
      </c>
      <c r="H12" s="36" t="n">
        <f aca="false">IF(G12="","",IF(MOD(G12,$P$3)=0,0,$P$3-MOD(G12,$P$3)))</f>
        <v>390</v>
      </c>
      <c r="I12" s="36" t="n">
        <f aca="false">IF(G12="","",IF(MOD(G12,$Q$3)=0,0,$Q$3-MOD(G12,$Q$3)))</f>
        <v>890</v>
      </c>
      <c r="J12" s="36" t="n">
        <f aca="false">IF(G12="","",IF(MOD(G12,$R$3)=0,0,$R$3-MOD(G12,$R$3)))</f>
        <v>890</v>
      </c>
      <c r="K12" s="36" t="n">
        <f aca="false">IF(G12="","",IF(MOD(G12,$S$3)=0,0,$S$3-MOD(G12,$S$3)))</f>
        <v>1890</v>
      </c>
      <c r="L12" s="37" t="str">
        <f aca="false">IF(G12="","",IF(MIN(H12,I12,J12,K12)=H12,"PM-500",IF(MIN(H12,I12,J12,K12)=I12,"PM-1000",IF(MIN(H12,I12,J12,K12)=J12,"PM-1500","PM-2000"))))</f>
        <v>PM-500</v>
      </c>
      <c r="M12" s="37" t="str">
        <f aca="false">IF(G12="","",IF(MIN(H12,I12,J12,K12)&lt;=50,"URGENT",IF(MIN(H12,I12,J12,K12)&lt;=150,"DUE MINGGU INI","JADWAL")))</f>
        <v>JADWAL</v>
      </c>
      <c r="N12" s="17" t="s">
        <v>339</v>
      </c>
      <c r="O12" s="17"/>
    </row>
    <row r="13" customFormat="false" ht="15" hidden="false" customHeight="false" outlineLevel="0" collapsed="false">
      <c r="B13" s="23" t="n">
        <v>8</v>
      </c>
      <c r="C13" s="34" t="s">
        <v>352</v>
      </c>
      <c r="D13" s="17" t="s">
        <v>64</v>
      </c>
      <c r="E13" s="17" t="s">
        <v>351</v>
      </c>
      <c r="F13" s="17" t="s">
        <v>73</v>
      </c>
      <c r="G13" s="35" t="n">
        <v>17640</v>
      </c>
      <c r="H13" s="36" t="n">
        <f aca="false">IF(G13="","",IF(MOD(G13,$P$3)=0,0,$P$3-MOD(G13,$P$3)))</f>
        <v>360</v>
      </c>
      <c r="I13" s="36" t="n">
        <f aca="false">IF(G13="","",IF(MOD(G13,$Q$3)=0,0,$Q$3-MOD(G13,$Q$3)))</f>
        <v>360</v>
      </c>
      <c r="J13" s="36" t="n">
        <f aca="false">IF(G13="","",IF(MOD(G13,$R$3)=0,0,$R$3-MOD(G13,$R$3)))</f>
        <v>360</v>
      </c>
      <c r="K13" s="36" t="n">
        <f aca="false">IF(G13="","",IF(MOD(G13,$S$3)=0,0,$S$3-MOD(G13,$S$3)))</f>
        <v>360</v>
      </c>
      <c r="L13" s="37" t="str">
        <f aca="false">IF(G13="","",IF(MIN(H13,I13,J13,K13)=H13,"PM-500",IF(MIN(H13,I13,J13,K13)=I13,"PM-1000",IF(MIN(H13,I13,J13,K13)=J13,"PM-1500","PM-2000"))))</f>
        <v>PM-500</v>
      </c>
      <c r="M13" s="37" t="str">
        <f aca="false">IF(G13="","",IF(MIN(H13,I13,J13,K13)&lt;=50,"URGENT",IF(MIN(H13,I13,J13,K13)&lt;=150,"DUE MINGGU INI","JADWAL")))</f>
        <v>JADWAL</v>
      </c>
      <c r="N13" s="17" t="s">
        <v>339</v>
      </c>
      <c r="O13" s="17"/>
    </row>
    <row r="14" customFormat="false" ht="15" hidden="false" customHeight="false" outlineLevel="0" collapsed="false">
      <c r="B14" s="23" t="n">
        <v>9</v>
      </c>
      <c r="C14" s="34" t="s">
        <v>353</v>
      </c>
      <c r="D14" s="17" t="s">
        <v>64</v>
      </c>
      <c r="E14" s="17" t="s">
        <v>351</v>
      </c>
      <c r="F14" s="17" t="s">
        <v>73</v>
      </c>
      <c r="G14" s="35" t="n">
        <v>8900</v>
      </c>
      <c r="H14" s="36" t="n">
        <f aca="false">IF(G14="","",IF(MOD(G14,$P$3)=0,0,$P$3-MOD(G14,$P$3)))</f>
        <v>100</v>
      </c>
      <c r="I14" s="36" t="n">
        <f aca="false">IF(G14="","",IF(MOD(G14,$Q$3)=0,0,$Q$3-MOD(G14,$Q$3)))</f>
        <v>100</v>
      </c>
      <c r="J14" s="36" t="n">
        <f aca="false">IF(G14="","",IF(MOD(G14,$R$3)=0,0,$R$3-MOD(G14,$R$3)))</f>
        <v>100</v>
      </c>
      <c r="K14" s="36" t="n">
        <f aca="false">IF(G14="","",IF(MOD(G14,$S$3)=0,0,$S$3-MOD(G14,$S$3)))</f>
        <v>1100</v>
      </c>
      <c r="L14" s="37" t="str">
        <f aca="false">IF(G14="","",IF(MIN(H14,I14,J14,K14)=H14,"PM-500",IF(MIN(H14,I14,J14,K14)=I14,"PM-1000",IF(MIN(H14,I14,J14,K14)=J14,"PM-1500","PM-2000"))))</f>
        <v>PM-500</v>
      </c>
      <c r="M14" s="37" t="str">
        <f aca="false">IF(G14="","",IF(MIN(H14,I14,J14,K14)&lt;=50,"URGENT",IF(MIN(H14,I14,J14,K14)&lt;=150,"DUE MINGGU INI","JADWAL")))</f>
        <v>DUE MINGGU INI</v>
      </c>
      <c r="N14" s="17" t="s">
        <v>346</v>
      </c>
      <c r="O14" s="17"/>
    </row>
    <row r="15" customFormat="false" ht="15" hidden="false" customHeight="false" outlineLevel="0" collapsed="false">
      <c r="B15" s="23" t="n">
        <v>10</v>
      </c>
      <c r="C15" s="34" t="s">
        <v>354</v>
      </c>
      <c r="D15" s="17" t="s">
        <v>64</v>
      </c>
      <c r="E15" s="17" t="s">
        <v>351</v>
      </c>
      <c r="F15" s="17" t="s">
        <v>73</v>
      </c>
      <c r="G15" s="35" t="n">
        <v>22100</v>
      </c>
      <c r="H15" s="36" t="n">
        <f aca="false">IF(G15="","",IF(MOD(G15,$P$3)=0,0,$P$3-MOD(G15,$P$3)))</f>
        <v>400</v>
      </c>
      <c r="I15" s="36" t="n">
        <f aca="false">IF(G15="","",IF(MOD(G15,$Q$3)=0,0,$Q$3-MOD(G15,$Q$3)))</f>
        <v>900</v>
      </c>
      <c r="J15" s="36" t="n">
        <f aca="false">IF(G15="","",IF(MOD(G15,$R$3)=0,0,$R$3-MOD(G15,$R$3)))</f>
        <v>400</v>
      </c>
      <c r="K15" s="36" t="n">
        <f aca="false">IF(G15="","",IF(MOD(G15,$S$3)=0,0,$S$3-MOD(G15,$S$3)))</f>
        <v>1900</v>
      </c>
      <c r="L15" s="37" t="str">
        <f aca="false">IF(G15="","",IF(MIN(H15,I15,J15,K15)=H15,"PM-500",IF(MIN(H15,I15,J15,K15)=I15,"PM-1000",IF(MIN(H15,I15,J15,K15)=J15,"PM-1500","PM-2000"))))</f>
        <v>PM-500</v>
      </c>
      <c r="M15" s="37" t="str">
        <f aca="false">IF(G15="","",IF(MIN(H15,I15,J15,K15)&lt;=50,"URGENT",IF(MIN(H15,I15,J15,K15)&lt;=150,"DUE MINGGU INI","JADWAL")))</f>
        <v>JADWAL</v>
      </c>
      <c r="N15" s="17" t="s">
        <v>346</v>
      </c>
      <c r="O15" s="17" t="s">
        <v>355</v>
      </c>
    </row>
    <row r="16" customFormat="false" ht="15" hidden="false" customHeight="false" outlineLevel="0" collapsed="false">
      <c r="B16" s="23" t="n">
        <v>11</v>
      </c>
      <c r="C16" s="34" t="s">
        <v>356</v>
      </c>
      <c r="D16" s="17" t="s">
        <v>64</v>
      </c>
      <c r="E16" s="17" t="s">
        <v>351</v>
      </c>
      <c r="F16" s="17" t="s">
        <v>73</v>
      </c>
      <c r="G16" s="35" t="n">
        <v>19800</v>
      </c>
      <c r="H16" s="36" t="n">
        <f aca="false">IF(G16="","",IF(MOD(G16,$P$3)=0,0,$P$3-MOD(G16,$P$3)))</f>
        <v>200</v>
      </c>
      <c r="I16" s="36" t="n">
        <f aca="false">IF(G16="","",IF(MOD(G16,$Q$3)=0,0,$Q$3-MOD(G16,$Q$3)))</f>
        <v>200</v>
      </c>
      <c r="J16" s="36" t="n">
        <f aca="false">IF(G16="","",IF(MOD(G16,$R$3)=0,0,$R$3-MOD(G16,$R$3)))</f>
        <v>1200</v>
      </c>
      <c r="K16" s="36" t="n">
        <f aca="false">IF(G16="","",IF(MOD(G16,$S$3)=0,0,$S$3-MOD(G16,$S$3)))</f>
        <v>200</v>
      </c>
      <c r="L16" s="37" t="str">
        <f aca="false">IF(G16="","",IF(MIN(H16,I16,J16,K16)=H16,"PM-500",IF(MIN(H16,I16,J16,K16)=I16,"PM-1000",IF(MIN(H16,I16,J16,K16)=J16,"PM-1500","PM-2000"))))</f>
        <v>PM-500</v>
      </c>
      <c r="M16" s="37" t="str">
        <f aca="false">IF(G16="","",IF(MIN(H16,I16,J16,K16)&lt;=50,"URGENT",IF(MIN(H16,I16,J16,K16)&lt;=150,"DUE MINGGU INI","JADWAL")))</f>
        <v>JADWAL</v>
      </c>
      <c r="N16" s="17" t="s">
        <v>357</v>
      </c>
      <c r="O16" s="17" t="s">
        <v>358</v>
      </c>
    </row>
    <row r="17" customFormat="false" ht="15" hidden="false" customHeight="false" outlineLevel="0" collapsed="false">
      <c r="B17" s="23" t="n">
        <v>12</v>
      </c>
      <c r="C17" s="34" t="s">
        <v>359</v>
      </c>
      <c r="D17" s="17" t="s">
        <v>64</v>
      </c>
      <c r="E17" s="17" t="s">
        <v>360</v>
      </c>
      <c r="F17" s="17" t="s">
        <v>73</v>
      </c>
      <c r="G17" s="35" t="n">
        <v>4100</v>
      </c>
      <c r="H17" s="36" t="n">
        <f aca="false">IF(G17="","",IF(MOD(G17,$P$3)=0,0,$P$3-MOD(G17,$P$3)))</f>
        <v>400</v>
      </c>
      <c r="I17" s="36" t="n">
        <f aca="false">IF(G17="","",IF(MOD(G17,$Q$3)=0,0,$Q$3-MOD(G17,$Q$3)))</f>
        <v>900</v>
      </c>
      <c r="J17" s="36" t="n">
        <f aca="false">IF(G17="","",IF(MOD(G17,$R$3)=0,0,$R$3-MOD(G17,$R$3)))</f>
        <v>400</v>
      </c>
      <c r="K17" s="36" t="n">
        <f aca="false">IF(G17="","",IF(MOD(G17,$S$3)=0,0,$S$3-MOD(G17,$S$3)))</f>
        <v>1900</v>
      </c>
      <c r="L17" s="37" t="str">
        <f aca="false">IF(G17="","",IF(MIN(H17,I17,J17,K17)=H17,"PM-500",IF(MIN(H17,I17,J17,K17)=I17,"PM-1000",IF(MIN(H17,I17,J17,K17)=J17,"PM-1500","PM-2000"))))</f>
        <v>PM-500</v>
      </c>
      <c r="M17" s="37" t="str">
        <f aca="false">IF(G17="","",IF(MIN(H17,I17,J17,K17)&lt;=50,"URGENT",IF(MIN(H17,I17,J17,K17)&lt;=150,"DUE MINGGU INI","JADWAL")))</f>
        <v>JADWAL</v>
      </c>
      <c r="N17" s="17" t="s">
        <v>339</v>
      </c>
      <c r="O17" s="17"/>
    </row>
    <row r="18" customFormat="false" ht="15" hidden="false" customHeight="false" outlineLevel="0" collapsed="false">
      <c r="B18" s="23" t="n">
        <v>13</v>
      </c>
      <c r="C18" s="34" t="s">
        <v>361</v>
      </c>
      <c r="D18" s="17" t="s">
        <v>64</v>
      </c>
      <c r="E18" s="17" t="s">
        <v>360</v>
      </c>
      <c r="F18" s="17" t="s">
        <v>73</v>
      </c>
      <c r="G18" s="35" t="n">
        <v>3850</v>
      </c>
      <c r="H18" s="36" t="n">
        <f aca="false">IF(G18="","",IF(MOD(G18,$P$3)=0,0,$P$3-MOD(G18,$P$3)))</f>
        <v>150</v>
      </c>
      <c r="I18" s="36" t="n">
        <f aca="false">IF(G18="","",IF(MOD(G18,$Q$3)=0,0,$Q$3-MOD(G18,$Q$3)))</f>
        <v>150</v>
      </c>
      <c r="J18" s="36" t="n">
        <f aca="false">IF(G18="","",IF(MOD(G18,$R$3)=0,0,$R$3-MOD(G18,$R$3)))</f>
        <v>650</v>
      </c>
      <c r="K18" s="36" t="n">
        <f aca="false">IF(G18="","",IF(MOD(G18,$S$3)=0,0,$S$3-MOD(G18,$S$3)))</f>
        <v>150</v>
      </c>
      <c r="L18" s="37" t="str">
        <f aca="false">IF(G18="","",IF(MIN(H18,I18,J18,K18)=H18,"PM-500",IF(MIN(H18,I18,J18,K18)=I18,"PM-1000",IF(MIN(H18,I18,J18,K18)=J18,"PM-1500","PM-2000"))))</f>
        <v>PM-500</v>
      </c>
      <c r="M18" s="37" t="str">
        <f aca="false">IF(G18="","",IF(MIN(H18,I18,J18,K18)&lt;=50,"URGENT",IF(MIN(H18,I18,J18,K18)&lt;=150,"DUE MINGGU INI","JADWAL")))</f>
        <v>DUE MINGGU INI</v>
      </c>
      <c r="N18" s="17" t="s">
        <v>346</v>
      </c>
      <c r="O18" s="17"/>
    </row>
    <row r="19" customFormat="false" ht="15" hidden="false" customHeight="false" outlineLevel="0" collapsed="false">
      <c r="B19" s="23" t="n">
        <v>14</v>
      </c>
      <c r="C19" s="34" t="s">
        <v>362</v>
      </c>
      <c r="D19" s="17" t="s">
        <v>64</v>
      </c>
      <c r="E19" s="17" t="s">
        <v>363</v>
      </c>
      <c r="F19" s="17" t="s">
        <v>65</v>
      </c>
      <c r="G19" s="35" t="n">
        <v>24500</v>
      </c>
      <c r="H19" s="36" t="n">
        <f aca="false">IF(G19="","",IF(MOD(G19,$P$3)=0,0,$P$3-MOD(G19,$P$3)))</f>
        <v>0</v>
      </c>
      <c r="I19" s="36" t="n">
        <f aca="false">IF(G19="","",IF(MOD(G19,$Q$3)=0,0,$Q$3-MOD(G19,$Q$3)))</f>
        <v>500</v>
      </c>
      <c r="J19" s="36" t="n">
        <f aca="false">IF(G19="","",IF(MOD(G19,$R$3)=0,0,$R$3-MOD(G19,$R$3)))</f>
        <v>1000</v>
      </c>
      <c r="K19" s="36" t="n">
        <f aca="false">IF(G19="","",IF(MOD(G19,$S$3)=0,0,$S$3-MOD(G19,$S$3)))</f>
        <v>1500</v>
      </c>
      <c r="L19" s="37" t="str">
        <f aca="false">IF(G19="","",IF(MIN(H19,I19,J19,K19)=H19,"PM-500",IF(MIN(H19,I19,J19,K19)=I19,"PM-1000",IF(MIN(H19,I19,J19,K19)=J19,"PM-1500","PM-2000"))))</f>
        <v>PM-500</v>
      </c>
      <c r="M19" s="37" t="str">
        <f aca="false">IF(G19="","",IF(MIN(H19,I19,J19,K19)&lt;=50,"URGENT",IF(MIN(H19,I19,J19,K19)&lt;=150,"DUE MINGGU INI","JADWAL")))</f>
        <v>URGENT</v>
      </c>
      <c r="N19" s="17" t="s">
        <v>334</v>
      </c>
      <c r="O19" s="17"/>
    </row>
    <row r="20" customFormat="false" ht="15" hidden="false" customHeight="false" outlineLevel="0" collapsed="false">
      <c r="B20" s="23" t="n">
        <v>15</v>
      </c>
      <c r="C20" s="34" t="s">
        <v>364</v>
      </c>
      <c r="D20" s="17" t="s">
        <v>64</v>
      </c>
      <c r="E20" s="17" t="s">
        <v>363</v>
      </c>
      <c r="F20" s="17" t="s">
        <v>65</v>
      </c>
      <c r="G20" s="35" t="n">
        <v>23100</v>
      </c>
      <c r="H20" s="36" t="n">
        <f aca="false">IF(G20="","",IF(MOD(G20,$P$3)=0,0,$P$3-MOD(G20,$P$3)))</f>
        <v>400</v>
      </c>
      <c r="I20" s="36" t="n">
        <f aca="false">IF(G20="","",IF(MOD(G20,$Q$3)=0,0,$Q$3-MOD(G20,$Q$3)))</f>
        <v>900</v>
      </c>
      <c r="J20" s="36" t="n">
        <f aca="false">IF(G20="","",IF(MOD(G20,$R$3)=0,0,$R$3-MOD(G20,$R$3)))</f>
        <v>900</v>
      </c>
      <c r="K20" s="36" t="n">
        <f aca="false">IF(G20="","",IF(MOD(G20,$S$3)=0,0,$S$3-MOD(G20,$S$3)))</f>
        <v>900</v>
      </c>
      <c r="L20" s="37" t="str">
        <f aca="false">IF(G20="","",IF(MIN(H20,I20,J20,K20)=H20,"PM-500",IF(MIN(H20,I20,J20,K20)=I20,"PM-1000",IF(MIN(H20,I20,J20,K20)=J20,"PM-1500","PM-2000"))))</f>
        <v>PM-500</v>
      </c>
      <c r="M20" s="37" t="str">
        <f aca="false">IF(G20="","",IF(MIN(H20,I20,J20,K20)&lt;=50,"URGENT",IF(MIN(H20,I20,J20,K20)&lt;=150,"DUE MINGGU INI","JADWAL")))</f>
        <v>JADWAL</v>
      </c>
      <c r="N20" s="17" t="s">
        <v>334</v>
      </c>
      <c r="O20" s="17"/>
    </row>
    <row r="21" customFormat="false" ht="15" hidden="false" customHeight="false" outlineLevel="0" collapsed="false">
      <c r="B21" s="23" t="n">
        <v>16</v>
      </c>
      <c r="C21" s="34" t="s">
        <v>365</v>
      </c>
      <c r="D21" s="17" t="s">
        <v>64</v>
      </c>
      <c r="E21" s="17" t="s">
        <v>363</v>
      </c>
      <c r="F21" s="17" t="s">
        <v>65</v>
      </c>
      <c r="G21" s="35" t="n">
        <v>26800</v>
      </c>
      <c r="H21" s="36" t="n">
        <f aca="false">IF(G21="","",IF(MOD(G21,$P$3)=0,0,$P$3-MOD(G21,$P$3)))</f>
        <v>200</v>
      </c>
      <c r="I21" s="36" t="n">
        <f aca="false">IF(G21="","",IF(MOD(G21,$Q$3)=0,0,$Q$3-MOD(G21,$Q$3)))</f>
        <v>200</v>
      </c>
      <c r="J21" s="36" t="n">
        <f aca="false">IF(G21="","",IF(MOD(G21,$R$3)=0,0,$R$3-MOD(G21,$R$3)))</f>
        <v>200</v>
      </c>
      <c r="K21" s="36" t="n">
        <f aca="false">IF(G21="","",IF(MOD(G21,$S$3)=0,0,$S$3-MOD(G21,$S$3)))</f>
        <v>1200</v>
      </c>
      <c r="L21" s="37" t="str">
        <f aca="false">IF(G21="","",IF(MIN(H21,I21,J21,K21)=H21,"PM-500",IF(MIN(H21,I21,J21,K21)=I21,"PM-1000",IF(MIN(H21,I21,J21,K21)=J21,"PM-1500","PM-2000"))))</f>
        <v>PM-500</v>
      </c>
      <c r="M21" s="37" t="str">
        <f aca="false">IF(G21="","",IF(MIN(H21,I21,J21,K21)&lt;=50,"URGENT",IF(MIN(H21,I21,J21,K21)&lt;=150,"DUE MINGGU INI","JADWAL")))</f>
        <v>JADWAL</v>
      </c>
      <c r="N21" s="17" t="s">
        <v>342</v>
      </c>
      <c r="O21" s="17" t="s">
        <v>366</v>
      </c>
    </row>
    <row r="22" customFormat="false" ht="15" hidden="false" customHeight="false" outlineLevel="0" collapsed="false">
      <c r="B22" s="23" t="n">
        <v>17</v>
      </c>
      <c r="C22" s="34" t="s">
        <v>367</v>
      </c>
      <c r="D22" s="17" t="s">
        <v>81</v>
      </c>
      <c r="E22" s="17" t="s">
        <v>368</v>
      </c>
      <c r="F22" s="17" t="s">
        <v>86</v>
      </c>
      <c r="G22" s="35" t="n">
        <v>16200</v>
      </c>
      <c r="H22" s="36" t="n">
        <f aca="false">IF(G22="","",IF(MOD(G22,$P$3)=0,0,$P$3-MOD(G22,$P$3)))</f>
        <v>300</v>
      </c>
      <c r="I22" s="36" t="n">
        <f aca="false">IF(G22="","",IF(MOD(G22,$Q$3)=0,0,$Q$3-MOD(G22,$Q$3)))</f>
        <v>800</v>
      </c>
      <c r="J22" s="36" t="n">
        <f aca="false">IF(G22="","",IF(MOD(G22,$R$3)=0,0,$R$3-MOD(G22,$R$3)))</f>
        <v>300</v>
      </c>
      <c r="K22" s="36" t="n">
        <f aca="false">IF(G22="","",IF(MOD(G22,$S$3)=0,0,$S$3-MOD(G22,$S$3)))</f>
        <v>1800</v>
      </c>
      <c r="L22" s="37" t="str">
        <f aca="false">IF(G22="","",IF(MIN(H22,I22,J22,K22)=H22,"PM-500",IF(MIN(H22,I22,J22,K22)=I22,"PM-1000",IF(MIN(H22,I22,J22,K22)=J22,"PM-1500","PM-2000"))))</f>
        <v>PM-500</v>
      </c>
      <c r="M22" s="37" t="str">
        <f aca="false">IF(G22="","",IF(MIN(H22,I22,J22,K22)&lt;=50,"URGENT",IF(MIN(H22,I22,J22,K22)&lt;=150,"DUE MINGGU INI","JADWAL")))</f>
        <v>JADWAL</v>
      </c>
      <c r="N22" s="17" t="s">
        <v>369</v>
      </c>
      <c r="O22" s="17"/>
    </row>
    <row r="23" customFormat="false" ht="15" hidden="false" customHeight="false" outlineLevel="0" collapsed="false">
      <c r="B23" s="23" t="n">
        <v>18</v>
      </c>
      <c r="C23" s="34" t="s">
        <v>370</v>
      </c>
      <c r="D23" s="17" t="s">
        <v>81</v>
      </c>
      <c r="E23" s="17" t="s">
        <v>371</v>
      </c>
      <c r="F23" s="17" t="s">
        <v>82</v>
      </c>
      <c r="G23" s="35" t="n">
        <v>14100</v>
      </c>
      <c r="H23" s="36" t="n">
        <f aca="false">IF(G23="","",IF(MOD(G23,$P$3)=0,0,$P$3-MOD(G23,$P$3)))</f>
        <v>400</v>
      </c>
      <c r="I23" s="36" t="n">
        <f aca="false">IF(G23="","",IF(MOD(G23,$Q$3)=0,0,$Q$3-MOD(G23,$Q$3)))</f>
        <v>900</v>
      </c>
      <c r="J23" s="36" t="n">
        <f aca="false">IF(G23="","",IF(MOD(G23,$R$3)=0,0,$R$3-MOD(G23,$R$3)))</f>
        <v>900</v>
      </c>
      <c r="K23" s="36" t="n">
        <f aca="false">IF(G23="","",IF(MOD(G23,$S$3)=0,0,$S$3-MOD(G23,$S$3)))</f>
        <v>1900</v>
      </c>
      <c r="L23" s="37" t="str">
        <f aca="false">IF(G23="","",IF(MIN(H23,I23,J23,K23)=H23,"PM-500",IF(MIN(H23,I23,J23,K23)=I23,"PM-1000",IF(MIN(H23,I23,J23,K23)=J23,"PM-1500","PM-2000"))))</f>
        <v>PM-500</v>
      </c>
      <c r="M23" s="37" t="str">
        <f aca="false">IF(G23="","",IF(MIN(H23,I23,J23,K23)&lt;=50,"URGENT",IF(MIN(H23,I23,J23,K23)&lt;=150,"DUE MINGGU INI","JADWAL")))</f>
        <v>JADWAL</v>
      </c>
      <c r="N23" s="17" t="s">
        <v>372</v>
      </c>
      <c r="O23" s="17"/>
    </row>
    <row r="24" customFormat="false" ht="15" hidden="false" customHeight="false" outlineLevel="0" collapsed="false">
      <c r="B24" s="23" t="n">
        <v>19</v>
      </c>
      <c r="C24" s="34" t="s">
        <v>373</v>
      </c>
      <c r="D24" s="17" t="s">
        <v>81</v>
      </c>
      <c r="E24" s="17" t="s">
        <v>374</v>
      </c>
      <c r="F24" s="17" t="s">
        <v>90</v>
      </c>
      <c r="G24" s="35" t="n">
        <v>8700</v>
      </c>
      <c r="H24" s="36" t="n">
        <f aca="false">IF(G24="","",IF(MOD(G24,$P$3)=0,0,$P$3-MOD(G24,$P$3)))</f>
        <v>300</v>
      </c>
      <c r="I24" s="36" t="n">
        <f aca="false">IF(G24="","",IF(MOD(G24,$Q$3)=0,0,$Q$3-MOD(G24,$Q$3)))</f>
        <v>300</v>
      </c>
      <c r="J24" s="36" t="n">
        <f aca="false">IF(G24="","",IF(MOD(G24,$R$3)=0,0,$R$3-MOD(G24,$R$3)))</f>
        <v>300</v>
      </c>
      <c r="K24" s="36" t="n">
        <f aca="false">IF(G24="","",IF(MOD(G24,$S$3)=0,0,$S$3-MOD(G24,$S$3)))</f>
        <v>1300</v>
      </c>
      <c r="L24" s="37" t="str">
        <f aca="false">IF(G24="","",IF(MIN(H24,I24,J24,K24)=H24,"PM-500",IF(MIN(H24,I24,J24,K24)=I24,"PM-1000",IF(MIN(H24,I24,J24,K24)=J24,"PM-1500","PM-2000"))))</f>
        <v>PM-500</v>
      </c>
      <c r="M24" s="37" t="str">
        <f aca="false">IF(G24="","",IF(MIN(H24,I24,J24,K24)&lt;=50,"URGENT",IF(MIN(H24,I24,J24,K24)&lt;=150,"DUE MINGGU INI","JADWAL")))</f>
        <v>JADWAL</v>
      </c>
      <c r="N24" s="17" t="s">
        <v>346</v>
      </c>
      <c r="O24" s="17" t="s">
        <v>375</v>
      </c>
    </row>
    <row r="25" customFormat="false" ht="15" hidden="false" customHeight="false" outlineLevel="0" collapsed="false">
      <c r="B25" s="23" t="n">
        <v>20</v>
      </c>
      <c r="C25" s="34" t="s">
        <v>376</v>
      </c>
      <c r="D25" s="17" t="s">
        <v>98</v>
      </c>
      <c r="E25" s="17" t="s">
        <v>377</v>
      </c>
      <c r="F25" s="17" t="s">
        <v>107</v>
      </c>
      <c r="G25" s="35" t="n">
        <v>11200</v>
      </c>
      <c r="H25" s="36" t="n">
        <f aca="false">IF(G25="","",IF(MOD(G25,$P$3)=0,0,$P$3-MOD(G25,$P$3)))</f>
        <v>300</v>
      </c>
      <c r="I25" s="36" t="n">
        <f aca="false">IF(G25="","",IF(MOD(G25,$Q$3)=0,0,$Q$3-MOD(G25,$Q$3)))</f>
        <v>800</v>
      </c>
      <c r="J25" s="36" t="n">
        <f aca="false">IF(G25="","",IF(MOD(G25,$R$3)=0,0,$R$3-MOD(G25,$R$3)))</f>
        <v>800</v>
      </c>
      <c r="K25" s="36" t="n">
        <f aca="false">IF(G25="","",IF(MOD(G25,$S$3)=0,0,$S$3-MOD(G25,$S$3)))</f>
        <v>800</v>
      </c>
      <c r="L25" s="37" t="str">
        <f aca="false">IF(G25="","",IF(MIN(H25,I25,J25,K25)=H25,"PM-500",IF(MIN(H25,I25,J25,K25)=I25,"PM-1000",IF(MIN(H25,I25,J25,K25)=J25,"PM-1500","PM-2000"))))</f>
        <v>PM-500</v>
      </c>
      <c r="M25" s="37" t="str">
        <f aca="false">IF(G25="","",IF(MIN(H25,I25,J25,K25)&lt;=50,"URGENT",IF(MIN(H25,I25,J25,K25)&lt;=150,"DUE MINGGU INI","JADWAL")))</f>
        <v>JADWAL</v>
      </c>
      <c r="N25" s="17" t="s">
        <v>372</v>
      </c>
      <c r="O25" s="17"/>
    </row>
    <row r="26" customFormat="false" ht="15" hidden="false" customHeight="false" outlineLevel="0" collapsed="false">
      <c r="B26" s="23" t="n">
        <v>21</v>
      </c>
      <c r="C26" s="34" t="s">
        <v>378</v>
      </c>
      <c r="D26" s="17" t="s">
        <v>98</v>
      </c>
      <c r="E26" s="17" t="s">
        <v>379</v>
      </c>
      <c r="F26" s="17" t="s">
        <v>103</v>
      </c>
      <c r="G26" s="35" t="n">
        <v>6400</v>
      </c>
      <c r="H26" s="36" t="n">
        <f aca="false">IF(G26="","",IF(MOD(G26,$P$3)=0,0,$P$3-MOD(G26,$P$3)))</f>
        <v>100</v>
      </c>
      <c r="I26" s="36" t="n">
        <f aca="false">IF(G26="","",IF(MOD(G26,$Q$3)=0,0,$Q$3-MOD(G26,$Q$3)))</f>
        <v>600</v>
      </c>
      <c r="J26" s="36" t="n">
        <f aca="false">IF(G26="","",IF(MOD(G26,$R$3)=0,0,$R$3-MOD(G26,$R$3)))</f>
        <v>1100</v>
      </c>
      <c r="K26" s="36" t="n">
        <f aca="false">IF(G26="","",IF(MOD(G26,$S$3)=0,0,$S$3-MOD(G26,$S$3)))</f>
        <v>1600</v>
      </c>
      <c r="L26" s="37" t="str">
        <f aca="false">IF(G26="","",IF(MIN(H26,I26,J26,K26)=H26,"PM-500",IF(MIN(H26,I26,J26,K26)=I26,"PM-1000",IF(MIN(H26,I26,J26,K26)=J26,"PM-1500","PM-2000"))))</f>
        <v>PM-500</v>
      </c>
      <c r="M26" s="37" t="str">
        <f aca="false">IF(G26="","",IF(MIN(H26,I26,J26,K26)&lt;=50,"URGENT",IF(MIN(H26,I26,J26,K26)&lt;=150,"DUE MINGGU INI","JADWAL")))</f>
        <v>DUE MINGGU INI</v>
      </c>
      <c r="N26" s="17" t="s">
        <v>372</v>
      </c>
      <c r="O26" s="17"/>
    </row>
    <row r="27" customFormat="false" ht="15" hidden="false" customHeight="false" outlineLevel="0" collapsed="false">
      <c r="B27" s="23" t="n">
        <v>22</v>
      </c>
      <c r="C27" s="34" t="s">
        <v>380</v>
      </c>
      <c r="D27" s="17" t="s">
        <v>111</v>
      </c>
      <c r="E27" s="17" t="s">
        <v>381</v>
      </c>
      <c r="F27" s="17" t="s">
        <v>112</v>
      </c>
      <c r="G27" s="35" t="n">
        <v>13400</v>
      </c>
      <c r="H27" s="36" t="n">
        <f aca="false">IF(G27="","",IF(MOD(G27,$P$3)=0,0,$P$3-MOD(G27,$P$3)))</f>
        <v>100</v>
      </c>
      <c r="I27" s="36" t="n">
        <f aca="false">IF(G27="","",IF(MOD(G27,$Q$3)=0,0,$Q$3-MOD(G27,$Q$3)))</f>
        <v>600</v>
      </c>
      <c r="J27" s="36" t="n">
        <f aca="false">IF(G27="","",IF(MOD(G27,$R$3)=0,0,$R$3-MOD(G27,$R$3)))</f>
        <v>100</v>
      </c>
      <c r="K27" s="36" t="n">
        <f aca="false">IF(G27="","",IF(MOD(G27,$S$3)=0,0,$S$3-MOD(G27,$S$3)))</f>
        <v>600</v>
      </c>
      <c r="L27" s="37" t="str">
        <f aca="false">IF(G27="","",IF(MIN(H27,I27,J27,K27)=H27,"PM-500",IF(MIN(H27,I27,J27,K27)=I27,"PM-1000",IF(MIN(H27,I27,J27,K27)=J27,"PM-1500","PM-2000"))))</f>
        <v>PM-500</v>
      </c>
      <c r="M27" s="37" t="str">
        <f aca="false">IF(G27="","",IF(MIN(H27,I27,J27,K27)&lt;=50,"URGENT",IF(MIN(H27,I27,J27,K27)&lt;=150,"DUE MINGGU INI","JADWAL")))</f>
        <v>DUE MINGGU INI</v>
      </c>
      <c r="N27" s="17" t="s">
        <v>382</v>
      </c>
      <c r="O27" s="17"/>
    </row>
    <row r="28" customFormat="false" ht="15" hidden="false" customHeight="false" outlineLevel="0" collapsed="false">
      <c r="B28" s="23" t="n">
        <v>23</v>
      </c>
      <c r="C28" s="34" t="s">
        <v>383</v>
      </c>
      <c r="D28" s="17" t="s">
        <v>111</v>
      </c>
      <c r="E28" s="17" t="s">
        <v>384</v>
      </c>
      <c r="F28" s="17" t="s">
        <v>385</v>
      </c>
      <c r="G28" s="35" t="n">
        <v>9800</v>
      </c>
      <c r="H28" s="36" t="n">
        <f aca="false">IF(G28="","",IF(MOD(G28,$P$3)=0,0,$P$3-MOD(G28,$P$3)))</f>
        <v>200</v>
      </c>
      <c r="I28" s="36" t="n">
        <f aca="false">IF(G28="","",IF(MOD(G28,$Q$3)=0,0,$Q$3-MOD(G28,$Q$3)))</f>
        <v>200</v>
      </c>
      <c r="J28" s="36" t="n">
        <f aca="false">IF(G28="","",IF(MOD(G28,$R$3)=0,0,$R$3-MOD(G28,$R$3)))</f>
        <v>700</v>
      </c>
      <c r="K28" s="36" t="n">
        <f aca="false">IF(G28="","",IF(MOD(G28,$S$3)=0,0,$S$3-MOD(G28,$S$3)))</f>
        <v>200</v>
      </c>
      <c r="L28" s="37" t="str">
        <f aca="false">IF(G28="","",IF(MIN(H28,I28,J28,K28)=H28,"PM-500",IF(MIN(H28,I28,J28,K28)=I28,"PM-1000",IF(MIN(H28,I28,J28,K28)=J28,"PM-1500","PM-2000"))))</f>
        <v>PM-500</v>
      </c>
      <c r="M28" s="37" t="str">
        <f aca="false">IF(G28="","",IF(MIN(H28,I28,J28,K28)&lt;=50,"URGENT",IF(MIN(H28,I28,J28,K28)&lt;=150,"DUE MINGGU INI","JADWAL")))</f>
        <v>JADWAL</v>
      </c>
      <c r="N28" s="17" t="s">
        <v>372</v>
      </c>
      <c r="O28" s="17"/>
    </row>
    <row r="31" customFormat="false" ht="18.65" hidden="false" customHeight="false" outlineLevel="0" collapsed="false">
      <c r="B31" s="38" t="s">
        <v>386</v>
      </c>
      <c r="C31" s="39" t="n">
        <f aca="false">COUNTIF(M6:M28,"URGENT")</f>
        <v>1</v>
      </c>
      <c r="D31" s="38" t="s">
        <v>387</v>
      </c>
      <c r="E31" s="39" t="n">
        <f aca="false">COUNTIF(M6:M28,"DUE MINGGU INI")</f>
        <v>7</v>
      </c>
      <c r="F31" s="38" t="s">
        <v>388</v>
      </c>
      <c r="G31" s="39" t="n">
        <f aca="false">COUNTIF(L6:L28,"PM-500")</f>
        <v>23</v>
      </c>
      <c r="H31" s="38" t="s">
        <v>389</v>
      </c>
      <c r="I31" s="39" t="n">
        <f aca="false">COUNTIF(L6:L28,"PM-1000")</f>
        <v>0</v>
      </c>
      <c r="J31" s="38" t="s">
        <v>390</v>
      </c>
      <c r="K31" s="39" t="n">
        <f aca="false">COUNTIF(L6:L28,"PM-1500")</f>
        <v>0</v>
      </c>
      <c r="L31" s="38" t="s">
        <v>391</v>
      </c>
      <c r="M31" s="39" t="n">
        <f aca="false">COUNTIF(L6:L28,"PM-2000")</f>
        <v>0</v>
      </c>
    </row>
  </sheetData>
  <autoFilter ref="B5:N28"/>
  <mergeCells count="2">
    <mergeCell ref="B2:N2"/>
    <mergeCell ref="B3:N3"/>
  </mergeCells>
  <conditionalFormatting sqref="M6:M28">
    <cfRule type="expression" priority="2" aboveAverage="0" equalAverage="0" bottom="0" percent="0" rank="0" text="" dxfId="18">
      <formula>M6="URGENT"</formula>
    </cfRule>
    <cfRule type="expression" priority="3" aboveAverage="0" equalAverage="0" bottom="0" percent="0" rank="0" text="" dxfId="19">
      <formula>M6="DUE MINGGU INI"</formula>
    </cfRule>
    <cfRule type="expression" priority="4" aboveAverage="0" equalAverage="0" bottom="0" percent="0" rank="0" text="" dxfId="20">
      <formula>M6="JADWAL"</formula>
    </cfRule>
  </conditionalFormatting>
  <dataValidations count="1">
    <dataValidation allowBlank="true" errorStyle="stop" operator="between" showDropDown="false" showErrorMessage="false" showInputMessage="false" sqref="D6:D28" type="list">
      <formula1>"Excavator,HD Dump Truck,Dozer,Grader,Pendukung"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46"/>
    <col collapsed="false" customWidth="true" hidden="false" outlineLevel="0" max="12" min="12" style="0" width="12"/>
    <col collapsed="false" customWidth="true" hidden="false" outlineLevel="0" max="13" min="13" style="0" width="36"/>
  </cols>
  <sheetData>
    <row r="2" customFormat="false" ht="19.7" hidden="false" customHeight="false" outlineLevel="0" collapsed="false">
      <c r="B2" s="13" t="s">
        <v>392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5" hidden="false" customHeight="false" outlineLevel="0" collapsed="false">
      <c r="B3" s="14" t="s">
        <v>393</v>
      </c>
      <c r="C3" s="14"/>
      <c r="D3" s="14"/>
      <c r="E3" s="14"/>
      <c r="F3" s="14"/>
      <c r="G3" s="14"/>
      <c r="H3" s="14"/>
      <c r="I3" s="14"/>
      <c r="J3" s="14"/>
      <c r="K3" s="14"/>
      <c r="L3" s="14"/>
    </row>
    <row r="5" customFormat="false" ht="22.35" hidden="false" customHeight="false" outlineLevel="0" collapsed="false">
      <c r="B5" s="8" t="s">
        <v>394</v>
      </c>
      <c r="C5" s="8" t="s">
        <v>395</v>
      </c>
      <c r="D5" s="8" t="s">
        <v>321</v>
      </c>
      <c r="E5" s="8" t="s">
        <v>36</v>
      </c>
      <c r="F5" s="8" t="s">
        <v>396</v>
      </c>
      <c r="G5" s="8" t="s">
        <v>397</v>
      </c>
      <c r="H5" s="8" t="s">
        <v>398</v>
      </c>
      <c r="I5" s="8" t="s">
        <v>399</v>
      </c>
      <c r="J5" s="8" t="s">
        <v>400</v>
      </c>
      <c r="K5" s="8" t="s">
        <v>401</v>
      </c>
      <c r="L5" s="8" t="s">
        <v>402</v>
      </c>
    </row>
    <row r="7" customFormat="false" ht="27.75" hidden="false" customHeight="true" outlineLevel="0" collapsed="false">
      <c r="B7" s="40" t="n">
        <v>1</v>
      </c>
      <c r="C7" s="17" t="s">
        <v>403</v>
      </c>
      <c r="D7" s="41" t="n">
        <v>46273</v>
      </c>
      <c r="E7" s="34" t="s">
        <v>340</v>
      </c>
      <c r="F7" s="17" t="s">
        <v>43</v>
      </c>
      <c r="G7" s="34" t="s">
        <v>404</v>
      </c>
      <c r="H7" s="35" t="n">
        <v>18900</v>
      </c>
      <c r="I7" s="17" t="s">
        <v>405</v>
      </c>
      <c r="J7" s="34" t="s">
        <v>406</v>
      </c>
      <c r="K7" s="17" t="s">
        <v>407</v>
      </c>
      <c r="L7" s="42" t="n">
        <v>8</v>
      </c>
      <c r="M7" s="17" t="s">
        <v>408</v>
      </c>
    </row>
    <row r="8" customFormat="false" ht="27.75" hidden="false" customHeight="true" outlineLevel="0" collapsed="false">
      <c r="B8" s="40" t="n">
        <v>2</v>
      </c>
      <c r="C8" s="17" t="s">
        <v>409</v>
      </c>
      <c r="D8" s="41" t="n">
        <v>46273</v>
      </c>
      <c r="E8" s="34" t="s">
        <v>354</v>
      </c>
      <c r="F8" s="17" t="s">
        <v>64</v>
      </c>
      <c r="G8" s="34" t="s">
        <v>391</v>
      </c>
      <c r="H8" s="35" t="n">
        <v>22100</v>
      </c>
      <c r="I8" s="17" t="s">
        <v>410</v>
      </c>
      <c r="J8" s="34" t="s">
        <v>411</v>
      </c>
      <c r="K8" s="17" t="s">
        <v>412</v>
      </c>
      <c r="L8" s="42" t="n">
        <v>16</v>
      </c>
      <c r="M8" s="17" t="s">
        <v>413</v>
      </c>
    </row>
    <row r="9" customFormat="false" ht="27.75" hidden="false" customHeight="true" outlineLevel="0" collapsed="false">
      <c r="B9" s="40" t="n">
        <v>3</v>
      </c>
      <c r="C9" s="17" t="s">
        <v>414</v>
      </c>
      <c r="D9" s="41" t="n">
        <v>46274</v>
      </c>
      <c r="E9" s="34" t="s">
        <v>376</v>
      </c>
      <c r="F9" s="17" t="s">
        <v>98</v>
      </c>
      <c r="G9" s="34" t="s">
        <v>389</v>
      </c>
      <c r="H9" s="35" t="n">
        <v>11200</v>
      </c>
      <c r="I9" s="17" t="s">
        <v>415</v>
      </c>
      <c r="J9" s="34" t="s">
        <v>416</v>
      </c>
      <c r="K9" s="17" t="s">
        <v>417</v>
      </c>
      <c r="L9" s="42" t="n">
        <v>6</v>
      </c>
      <c r="M9" s="17" t="s">
        <v>418</v>
      </c>
    </row>
    <row r="10" customFormat="false" ht="27.75" hidden="false" customHeight="true" outlineLevel="0" collapsed="false">
      <c r="B10" s="40" t="n">
        <v>4</v>
      </c>
      <c r="C10" s="17" t="s">
        <v>419</v>
      </c>
      <c r="D10" s="41" t="n">
        <v>46274</v>
      </c>
      <c r="E10" s="34" t="s">
        <v>367</v>
      </c>
      <c r="F10" s="17" t="s">
        <v>81</v>
      </c>
      <c r="G10" s="34" t="s">
        <v>390</v>
      </c>
      <c r="H10" s="35" t="n">
        <v>16200</v>
      </c>
      <c r="I10" s="17" t="s">
        <v>420</v>
      </c>
      <c r="J10" s="34" t="s">
        <v>416</v>
      </c>
      <c r="K10" s="17" t="s">
        <v>421</v>
      </c>
      <c r="L10" s="42" t="n">
        <v>5</v>
      </c>
      <c r="M10" s="17" t="s">
        <v>422</v>
      </c>
    </row>
    <row r="11" customFormat="false" ht="27.75" hidden="false" customHeight="true" outlineLevel="0" collapsed="false">
      <c r="B11" s="40" t="n">
        <v>5</v>
      </c>
      <c r="C11" s="17" t="s">
        <v>423</v>
      </c>
      <c r="D11" s="41" t="n">
        <v>46275</v>
      </c>
      <c r="E11" s="34" t="s">
        <v>347</v>
      </c>
      <c r="F11" s="17" t="s">
        <v>43</v>
      </c>
      <c r="G11" s="34" t="s">
        <v>424</v>
      </c>
      <c r="H11" s="35" t="n">
        <v>15400</v>
      </c>
      <c r="I11" s="17" t="s">
        <v>425</v>
      </c>
      <c r="J11" s="34" t="s">
        <v>426</v>
      </c>
      <c r="K11" s="17" t="s">
        <v>427</v>
      </c>
      <c r="L11" s="42" t="n">
        <v>24</v>
      </c>
      <c r="M11" s="17" t="s">
        <v>428</v>
      </c>
    </row>
    <row r="12" customFormat="false" ht="15" hidden="false" customHeight="false" outlineLevel="0" collapsed="false">
      <c r="B12" s="43" t="n">
        <v>6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3" customFormat="false" ht="15" hidden="false" customHeight="false" outlineLevel="0" collapsed="false">
      <c r="B13" s="43" t="n">
        <v>7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</row>
    <row r="14" customFormat="false" ht="15" hidden="false" customHeight="false" outlineLevel="0" collapsed="false">
      <c r="B14" s="43" t="n">
        <v>8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</row>
    <row r="15" customFormat="false" ht="15" hidden="false" customHeight="false" outlineLevel="0" collapsed="false">
      <c r="B15" s="43" t="n">
        <v>9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customFormat="false" ht="15" hidden="false" customHeight="false" outlineLevel="0" collapsed="false">
      <c r="B16" s="43" t="n">
        <v>10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9" customFormat="false" ht="15" hidden="false" customHeight="false" outlineLevel="0" collapsed="false">
      <c r="B19" s="3" t="s">
        <v>429</v>
      </c>
      <c r="C19" s="3"/>
      <c r="D19" s="3"/>
      <c r="E19" s="3"/>
      <c r="F19" s="3"/>
      <c r="G19" s="3"/>
    </row>
    <row r="20" customFormat="false" ht="15" hidden="false" customHeight="true" outlineLevel="0" collapsed="false">
      <c r="B20" s="8" t="s">
        <v>396</v>
      </c>
      <c r="C20" s="8" t="s">
        <v>430</v>
      </c>
      <c r="D20" s="8"/>
      <c r="E20" s="8"/>
      <c r="F20" s="8"/>
      <c r="G20" s="8"/>
    </row>
    <row r="21" customFormat="false" ht="21.75" hidden="false" customHeight="true" outlineLevel="0" collapsed="false">
      <c r="B21" s="44" t="s">
        <v>404</v>
      </c>
      <c r="C21" s="9" t="s">
        <v>431</v>
      </c>
      <c r="D21" s="9"/>
      <c r="E21" s="9"/>
      <c r="F21" s="9"/>
      <c r="G21" s="9"/>
    </row>
    <row r="22" customFormat="false" ht="21.75" hidden="false" customHeight="true" outlineLevel="0" collapsed="false">
      <c r="B22" s="45" t="s">
        <v>389</v>
      </c>
      <c r="C22" s="9" t="s">
        <v>432</v>
      </c>
      <c r="D22" s="9"/>
      <c r="E22" s="9"/>
      <c r="F22" s="9"/>
      <c r="G22" s="9"/>
    </row>
    <row r="23" customFormat="false" ht="21.75" hidden="false" customHeight="true" outlineLevel="0" collapsed="false">
      <c r="B23" s="46" t="s">
        <v>390</v>
      </c>
      <c r="C23" s="9" t="s">
        <v>433</v>
      </c>
      <c r="D23" s="9"/>
      <c r="E23" s="9"/>
      <c r="F23" s="9"/>
      <c r="G23" s="9"/>
    </row>
    <row r="24" customFormat="false" ht="21.75" hidden="false" customHeight="true" outlineLevel="0" collapsed="false">
      <c r="B24" s="47" t="s">
        <v>391</v>
      </c>
      <c r="C24" s="9" t="s">
        <v>434</v>
      </c>
      <c r="D24" s="9"/>
      <c r="E24" s="9"/>
      <c r="F24" s="9"/>
      <c r="G24" s="9"/>
    </row>
    <row r="25" customFormat="false" ht="21.75" hidden="false" customHeight="true" outlineLevel="0" collapsed="false">
      <c r="B25" s="48" t="s">
        <v>435</v>
      </c>
      <c r="C25" s="9" t="s">
        <v>436</v>
      </c>
      <c r="D25" s="9"/>
      <c r="E25" s="9"/>
      <c r="F25" s="9"/>
      <c r="G25" s="9"/>
    </row>
  </sheetData>
  <mergeCells count="9">
    <mergeCell ref="B2:L2"/>
    <mergeCell ref="B3:L3"/>
    <mergeCell ref="B19:G19"/>
    <mergeCell ref="C20:G20"/>
    <mergeCell ref="C21:G21"/>
    <mergeCell ref="C22:G22"/>
    <mergeCell ref="C23:G23"/>
    <mergeCell ref="C24:G24"/>
    <mergeCell ref="C25:G25"/>
  </mergeCells>
  <dataValidations count="2">
    <dataValidation allowBlank="true" errorStyle="stop" operator="between" showDropDown="false" showErrorMessage="false" showInputMessage="false" sqref="F7:F16" type="list">
      <formula1>"PM-500,PM-1000,PM-1500,PM-2000,GENERAL-OH,UNSCHEDULED"</formula1>
      <formula2>0</formula2>
    </dataValidation>
    <dataValidation allowBlank="true" errorStyle="stop" operator="between" showDropDown="false" showErrorMessage="false" showInputMessage="false" sqref="I7:I16" type="list">
      <formula1>"OPEN,PART READY,ON PROGRESS,WAIT PART,DONE,QA"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16"/>
  </cols>
  <sheetData>
    <row r="2" customFormat="false" ht="19.7" hidden="false" customHeight="false" outlineLevel="0" collapsed="false">
      <c r="B2" s="13" t="s">
        <v>437</v>
      </c>
      <c r="C2" s="13"/>
      <c r="D2" s="13"/>
      <c r="E2" s="13"/>
      <c r="F2" s="13"/>
      <c r="G2" s="13"/>
      <c r="H2" s="13"/>
      <c r="I2" s="13"/>
    </row>
    <row r="3" customFormat="false" ht="15" hidden="false" customHeight="false" outlineLevel="0" collapsed="false">
      <c r="B3" s="14" t="s">
        <v>438</v>
      </c>
      <c r="C3" s="14"/>
      <c r="D3" s="14"/>
      <c r="E3" s="14"/>
      <c r="F3" s="14"/>
      <c r="G3" s="14"/>
      <c r="H3" s="14"/>
      <c r="I3" s="14"/>
    </row>
    <row r="4" customFormat="false" ht="24" hidden="false" customHeight="true" outlineLevel="0" collapsed="false">
      <c r="B4" s="49" t="s">
        <v>35</v>
      </c>
      <c r="C4" s="49" t="s">
        <v>130</v>
      </c>
      <c r="D4" s="49" t="s">
        <v>439</v>
      </c>
      <c r="E4" s="49" t="s">
        <v>440</v>
      </c>
      <c r="F4" s="49" t="s">
        <v>441</v>
      </c>
      <c r="G4" s="49" t="s">
        <v>442</v>
      </c>
      <c r="H4" s="49" t="s">
        <v>443</v>
      </c>
      <c r="I4" s="49" t="s">
        <v>444</v>
      </c>
    </row>
    <row r="5" customFormat="false" ht="31.5" hidden="false" customHeight="true" outlineLevel="0" collapsed="false">
      <c r="B5" s="23" t="n">
        <v>1</v>
      </c>
      <c r="C5" s="24" t="s">
        <v>141</v>
      </c>
      <c r="D5" s="24" t="s">
        <v>445</v>
      </c>
      <c r="E5" s="50" t="s">
        <v>446</v>
      </c>
      <c r="F5" s="24" t="s">
        <v>447</v>
      </c>
      <c r="G5" s="24" t="s">
        <v>448</v>
      </c>
      <c r="H5" s="24" t="s">
        <v>449</v>
      </c>
      <c r="I5" s="23" t="n">
        <v>21</v>
      </c>
    </row>
    <row r="6" customFormat="false" ht="31.5" hidden="false" customHeight="true" outlineLevel="0" collapsed="false">
      <c r="B6" s="51" t="n">
        <v>2</v>
      </c>
      <c r="C6" s="52" t="s">
        <v>141</v>
      </c>
      <c r="D6" s="52" t="s">
        <v>450</v>
      </c>
      <c r="E6" s="50" t="s">
        <v>451</v>
      </c>
      <c r="F6" s="52" t="s">
        <v>452</v>
      </c>
      <c r="G6" s="52" t="s">
        <v>453</v>
      </c>
      <c r="H6" s="52" t="s">
        <v>454</v>
      </c>
      <c r="I6" s="51" t="n">
        <v>45</v>
      </c>
    </row>
    <row r="7" customFormat="false" ht="31.5" hidden="false" customHeight="true" outlineLevel="0" collapsed="false">
      <c r="B7" s="23" t="n">
        <v>3</v>
      </c>
      <c r="C7" s="24" t="s">
        <v>43</v>
      </c>
      <c r="D7" s="24" t="s">
        <v>455</v>
      </c>
      <c r="E7" s="50" t="s">
        <v>456</v>
      </c>
      <c r="F7" s="24" t="s">
        <v>457</v>
      </c>
      <c r="G7" s="24" t="s">
        <v>458</v>
      </c>
      <c r="H7" s="24" t="s">
        <v>459</v>
      </c>
      <c r="I7" s="23" t="n">
        <v>30</v>
      </c>
    </row>
    <row r="8" customFormat="false" ht="31.5" hidden="false" customHeight="true" outlineLevel="0" collapsed="false">
      <c r="B8" s="51" t="n">
        <v>4</v>
      </c>
      <c r="C8" s="52" t="s">
        <v>43</v>
      </c>
      <c r="D8" s="52" t="s">
        <v>460</v>
      </c>
      <c r="E8" s="50" t="s">
        <v>461</v>
      </c>
      <c r="F8" s="52" t="s">
        <v>462</v>
      </c>
      <c r="G8" s="52" t="s">
        <v>463</v>
      </c>
      <c r="H8" s="52" t="s">
        <v>464</v>
      </c>
      <c r="I8" s="51" t="n">
        <v>30</v>
      </c>
    </row>
    <row r="9" customFormat="false" ht="31.5" hidden="false" customHeight="true" outlineLevel="0" collapsed="false">
      <c r="B9" s="23" t="n">
        <v>5</v>
      </c>
      <c r="C9" s="24" t="s">
        <v>43</v>
      </c>
      <c r="D9" s="24" t="s">
        <v>465</v>
      </c>
      <c r="E9" s="50" t="s">
        <v>456</v>
      </c>
      <c r="F9" s="24" t="s">
        <v>466</v>
      </c>
      <c r="G9" s="24" t="s">
        <v>467</v>
      </c>
      <c r="H9" s="24" t="s">
        <v>468</v>
      </c>
      <c r="I9" s="23" t="n">
        <v>30</v>
      </c>
    </row>
    <row r="10" customFormat="false" ht="31.5" hidden="false" customHeight="true" outlineLevel="0" collapsed="false">
      <c r="B10" s="51" t="n">
        <v>6</v>
      </c>
      <c r="C10" s="52" t="s">
        <v>43</v>
      </c>
      <c r="D10" s="52" t="s">
        <v>469</v>
      </c>
      <c r="E10" s="50" t="s">
        <v>470</v>
      </c>
      <c r="F10" s="52" t="s">
        <v>471</v>
      </c>
      <c r="G10" s="52" t="s">
        <v>472</v>
      </c>
      <c r="H10" s="52" t="s">
        <v>473</v>
      </c>
      <c r="I10" s="51" t="n">
        <v>45</v>
      </c>
    </row>
    <row r="11" customFormat="false" ht="31.5" hidden="false" customHeight="true" outlineLevel="0" collapsed="false">
      <c r="B11" s="23" t="n">
        <v>7</v>
      </c>
      <c r="C11" s="24" t="s">
        <v>43</v>
      </c>
      <c r="D11" s="24" t="s">
        <v>474</v>
      </c>
      <c r="E11" s="50" t="s">
        <v>461</v>
      </c>
      <c r="F11" s="24" t="s">
        <v>475</v>
      </c>
      <c r="G11" s="24" t="s">
        <v>476</v>
      </c>
      <c r="H11" s="24" t="s">
        <v>477</v>
      </c>
      <c r="I11" s="23" t="n">
        <v>21</v>
      </c>
    </row>
    <row r="12" customFormat="false" ht="31.5" hidden="false" customHeight="true" outlineLevel="0" collapsed="false">
      <c r="B12" s="51" t="n">
        <v>8</v>
      </c>
      <c r="C12" s="52" t="s">
        <v>64</v>
      </c>
      <c r="D12" s="52" t="s">
        <v>478</v>
      </c>
      <c r="E12" s="50" t="s">
        <v>461</v>
      </c>
      <c r="F12" s="52" t="s">
        <v>479</v>
      </c>
      <c r="G12" s="52" t="s">
        <v>480</v>
      </c>
      <c r="H12" s="52" t="s">
        <v>481</v>
      </c>
      <c r="I12" s="51" t="n">
        <v>45</v>
      </c>
    </row>
    <row r="13" customFormat="false" ht="31.5" hidden="false" customHeight="true" outlineLevel="0" collapsed="false">
      <c r="B13" s="23" t="n">
        <v>9</v>
      </c>
      <c r="C13" s="24" t="s">
        <v>64</v>
      </c>
      <c r="D13" s="24" t="s">
        <v>482</v>
      </c>
      <c r="E13" s="50" t="s">
        <v>451</v>
      </c>
      <c r="F13" s="24" t="s">
        <v>483</v>
      </c>
      <c r="G13" s="24" t="s">
        <v>484</v>
      </c>
      <c r="H13" s="24" t="s">
        <v>485</v>
      </c>
      <c r="I13" s="23" t="n">
        <v>30</v>
      </c>
    </row>
    <row r="14" customFormat="false" ht="31.5" hidden="false" customHeight="true" outlineLevel="0" collapsed="false">
      <c r="B14" s="51" t="n">
        <v>10</v>
      </c>
      <c r="C14" s="52" t="s">
        <v>64</v>
      </c>
      <c r="D14" s="52" t="s">
        <v>486</v>
      </c>
      <c r="E14" s="50" t="s">
        <v>461</v>
      </c>
      <c r="F14" s="52" t="s">
        <v>487</v>
      </c>
      <c r="G14" s="52" t="s">
        <v>488</v>
      </c>
      <c r="H14" s="52" t="s">
        <v>489</v>
      </c>
      <c r="I14" s="51" t="n">
        <v>30</v>
      </c>
    </row>
    <row r="15" customFormat="false" ht="31.5" hidden="false" customHeight="true" outlineLevel="0" collapsed="false">
      <c r="B15" s="23" t="n">
        <v>11</v>
      </c>
      <c r="C15" s="24" t="s">
        <v>64</v>
      </c>
      <c r="D15" s="24" t="s">
        <v>490</v>
      </c>
      <c r="E15" s="50" t="s">
        <v>456</v>
      </c>
      <c r="F15" s="24" t="s">
        <v>491</v>
      </c>
      <c r="G15" s="24" t="s">
        <v>492</v>
      </c>
      <c r="H15" s="24" t="s">
        <v>493</v>
      </c>
      <c r="I15" s="23" t="n">
        <v>21</v>
      </c>
    </row>
    <row r="16" customFormat="false" ht="31.5" hidden="false" customHeight="true" outlineLevel="0" collapsed="false">
      <c r="B16" s="51" t="n">
        <v>12</v>
      </c>
      <c r="C16" s="52" t="s">
        <v>64</v>
      </c>
      <c r="D16" s="52" t="s">
        <v>494</v>
      </c>
      <c r="E16" s="50" t="s">
        <v>461</v>
      </c>
      <c r="F16" s="52" t="s">
        <v>495</v>
      </c>
      <c r="G16" s="52" t="s">
        <v>496</v>
      </c>
      <c r="H16" s="52" t="s">
        <v>497</v>
      </c>
      <c r="I16" s="51" t="n">
        <v>21</v>
      </c>
    </row>
    <row r="17" customFormat="false" ht="31.5" hidden="false" customHeight="true" outlineLevel="0" collapsed="false">
      <c r="B17" s="23" t="n">
        <v>13</v>
      </c>
      <c r="C17" s="24" t="s">
        <v>64</v>
      </c>
      <c r="D17" s="24" t="s">
        <v>498</v>
      </c>
      <c r="E17" s="50" t="s">
        <v>461</v>
      </c>
      <c r="F17" s="24" t="s">
        <v>499</v>
      </c>
      <c r="G17" s="24" t="s">
        <v>500</v>
      </c>
      <c r="H17" s="24" t="s">
        <v>501</v>
      </c>
      <c r="I17" s="23" t="n">
        <v>30</v>
      </c>
    </row>
    <row r="18" customFormat="false" ht="31.5" hidden="false" customHeight="true" outlineLevel="0" collapsed="false">
      <c r="B18" s="51" t="n">
        <v>14</v>
      </c>
      <c r="C18" s="52" t="s">
        <v>81</v>
      </c>
      <c r="D18" s="52" t="s">
        <v>502</v>
      </c>
      <c r="E18" s="50" t="s">
        <v>456</v>
      </c>
      <c r="F18" s="52" t="s">
        <v>503</v>
      </c>
      <c r="G18" s="52" t="s">
        <v>504</v>
      </c>
      <c r="H18" s="52" t="s">
        <v>505</v>
      </c>
      <c r="I18" s="51" t="n">
        <v>30</v>
      </c>
    </row>
    <row r="19" customFormat="false" ht="31.5" hidden="false" customHeight="true" outlineLevel="0" collapsed="false">
      <c r="B19" s="23" t="n">
        <v>15</v>
      </c>
      <c r="C19" s="24" t="s">
        <v>81</v>
      </c>
      <c r="D19" s="24" t="s">
        <v>506</v>
      </c>
      <c r="E19" s="50" t="s">
        <v>461</v>
      </c>
      <c r="F19" s="24" t="s">
        <v>507</v>
      </c>
      <c r="G19" s="24" t="s">
        <v>480</v>
      </c>
      <c r="H19" s="24" t="s">
        <v>508</v>
      </c>
      <c r="I19" s="23" t="n">
        <v>30</v>
      </c>
    </row>
    <row r="20" customFormat="false" ht="31.5" hidden="false" customHeight="true" outlineLevel="0" collapsed="false">
      <c r="B20" s="51" t="n">
        <v>16</v>
      </c>
      <c r="C20" s="52" t="s">
        <v>81</v>
      </c>
      <c r="D20" s="52" t="s">
        <v>509</v>
      </c>
      <c r="E20" s="50" t="s">
        <v>510</v>
      </c>
      <c r="F20" s="52" t="s">
        <v>511</v>
      </c>
      <c r="G20" s="52" t="s">
        <v>512</v>
      </c>
      <c r="H20" s="52" t="s">
        <v>513</v>
      </c>
      <c r="I20" s="51" t="n">
        <v>30</v>
      </c>
    </row>
    <row r="21" customFormat="false" ht="31.5" hidden="false" customHeight="true" outlineLevel="0" collapsed="false">
      <c r="B21" s="23" t="n">
        <v>17</v>
      </c>
      <c r="C21" s="24" t="s">
        <v>81</v>
      </c>
      <c r="D21" s="24" t="s">
        <v>514</v>
      </c>
      <c r="E21" s="50" t="s">
        <v>456</v>
      </c>
      <c r="F21" s="24" t="s">
        <v>515</v>
      </c>
      <c r="G21" s="24" t="s">
        <v>516</v>
      </c>
      <c r="H21" s="24" t="s">
        <v>517</v>
      </c>
      <c r="I21" s="23" t="n">
        <v>21</v>
      </c>
    </row>
    <row r="22" customFormat="false" ht="31.5" hidden="false" customHeight="true" outlineLevel="0" collapsed="false">
      <c r="B22" s="51" t="n">
        <v>18</v>
      </c>
      <c r="C22" s="52" t="s">
        <v>98</v>
      </c>
      <c r="D22" s="52" t="s">
        <v>518</v>
      </c>
      <c r="E22" s="50" t="s">
        <v>510</v>
      </c>
      <c r="F22" s="52" t="s">
        <v>519</v>
      </c>
      <c r="G22" s="52" t="s">
        <v>520</v>
      </c>
      <c r="H22" s="52" t="s">
        <v>521</v>
      </c>
      <c r="I22" s="51" t="n">
        <v>21</v>
      </c>
    </row>
    <row r="23" customFormat="false" ht="31.5" hidden="false" customHeight="true" outlineLevel="0" collapsed="false">
      <c r="B23" s="23" t="n">
        <v>19</v>
      </c>
      <c r="C23" s="24" t="s">
        <v>98</v>
      </c>
      <c r="D23" s="24" t="s">
        <v>522</v>
      </c>
      <c r="E23" s="50" t="s">
        <v>461</v>
      </c>
      <c r="F23" s="24" t="s">
        <v>523</v>
      </c>
      <c r="G23" s="24" t="s">
        <v>524</v>
      </c>
      <c r="H23" s="24" t="s">
        <v>525</v>
      </c>
      <c r="I23" s="23" t="n">
        <v>30</v>
      </c>
    </row>
    <row r="24" customFormat="false" ht="31.5" hidden="false" customHeight="true" outlineLevel="0" collapsed="false">
      <c r="B24" s="51" t="n">
        <v>20</v>
      </c>
      <c r="C24" s="52" t="s">
        <v>98</v>
      </c>
      <c r="D24" s="52" t="s">
        <v>526</v>
      </c>
      <c r="E24" s="50" t="s">
        <v>456</v>
      </c>
      <c r="F24" s="52" t="s">
        <v>527</v>
      </c>
      <c r="G24" s="52" t="s">
        <v>528</v>
      </c>
      <c r="H24" s="52" t="s">
        <v>529</v>
      </c>
      <c r="I24" s="51" t="n">
        <v>21</v>
      </c>
    </row>
    <row r="25" customFormat="false" ht="31.5" hidden="false" customHeight="true" outlineLevel="0" collapsed="false">
      <c r="B25" s="23" t="n">
        <v>21</v>
      </c>
      <c r="C25" s="24" t="s">
        <v>141</v>
      </c>
      <c r="D25" s="24" t="s">
        <v>530</v>
      </c>
      <c r="E25" s="50" t="s">
        <v>461</v>
      </c>
      <c r="F25" s="24" t="s">
        <v>531</v>
      </c>
      <c r="G25" s="24" t="s">
        <v>532</v>
      </c>
      <c r="H25" s="24" t="s">
        <v>533</v>
      </c>
      <c r="I25" s="23" t="n">
        <v>21</v>
      </c>
    </row>
    <row r="26" customFormat="false" ht="31.5" hidden="false" customHeight="true" outlineLevel="0" collapsed="false">
      <c r="B26" s="51" t="n">
        <v>22</v>
      </c>
      <c r="C26" s="52" t="s">
        <v>141</v>
      </c>
      <c r="D26" s="52" t="s">
        <v>534</v>
      </c>
      <c r="E26" s="50" t="s">
        <v>456</v>
      </c>
      <c r="F26" s="52" t="s">
        <v>535</v>
      </c>
      <c r="G26" s="52" t="s">
        <v>536</v>
      </c>
      <c r="H26" s="52" t="s">
        <v>537</v>
      </c>
      <c r="I26" s="51" t="n">
        <v>7</v>
      </c>
    </row>
    <row r="27" customFormat="false" ht="31.5" hidden="false" customHeight="true" outlineLevel="0" collapsed="false">
      <c r="B27" s="23" t="n">
        <v>23</v>
      </c>
      <c r="C27" s="24" t="s">
        <v>141</v>
      </c>
      <c r="D27" s="24" t="s">
        <v>538</v>
      </c>
      <c r="E27" s="50" t="s">
        <v>539</v>
      </c>
      <c r="F27" s="24" t="s">
        <v>540</v>
      </c>
      <c r="G27" s="24" t="s">
        <v>541</v>
      </c>
      <c r="H27" s="24" t="s">
        <v>542</v>
      </c>
      <c r="I27" s="23" t="n">
        <v>14</v>
      </c>
    </row>
    <row r="28" customFormat="false" ht="31.5" hidden="false" customHeight="true" outlineLevel="0" collapsed="false">
      <c r="B28" s="51" t="n">
        <v>24</v>
      </c>
      <c r="C28" s="52" t="s">
        <v>141</v>
      </c>
      <c r="D28" s="52" t="s">
        <v>543</v>
      </c>
      <c r="E28" s="50" t="s">
        <v>544</v>
      </c>
      <c r="F28" s="52" t="s">
        <v>545</v>
      </c>
      <c r="G28" s="52" t="s">
        <v>546</v>
      </c>
      <c r="H28" s="52" t="s">
        <v>547</v>
      </c>
      <c r="I28" s="51" t="n">
        <v>14</v>
      </c>
    </row>
    <row r="29" customFormat="false" ht="31.5" hidden="false" customHeight="true" outlineLevel="0" collapsed="false">
      <c r="B29" s="23" t="n">
        <v>25</v>
      </c>
      <c r="C29" s="24" t="s">
        <v>141</v>
      </c>
      <c r="D29" s="24" t="s">
        <v>548</v>
      </c>
      <c r="E29" s="50" t="s">
        <v>549</v>
      </c>
      <c r="F29" s="24" t="s">
        <v>550</v>
      </c>
      <c r="G29" s="24" t="s">
        <v>551</v>
      </c>
      <c r="H29" s="24" t="s">
        <v>552</v>
      </c>
      <c r="I29" s="23" t="n">
        <v>14</v>
      </c>
    </row>
    <row r="32" customFormat="false" ht="15" hidden="false" customHeight="true" outlineLevel="0" collapsed="false">
      <c r="B32" s="12" t="s">
        <v>553</v>
      </c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B33" s="12"/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B34" s="12"/>
      <c r="C34" s="12"/>
      <c r="D34" s="12"/>
      <c r="E34" s="12"/>
      <c r="F34" s="12"/>
      <c r="G34" s="12"/>
      <c r="H34" s="12"/>
      <c r="I34" s="12"/>
    </row>
  </sheetData>
  <autoFilter ref="B4:I36"/>
  <mergeCells count="3">
    <mergeCell ref="B2:I2"/>
    <mergeCell ref="B3:I3"/>
    <mergeCell ref="B32:I3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&amp;LPlant Service Monitoring Workshop  •  Rev. 00&amp;RHal.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2026-09-07T19:29:10Z</dcterms:created>
  <dc:creator>openpyxl</dc:creator>
  <dc:description/>
  <dc:language>en-US</dc:language>
  <cp:lastModifiedBy/>
  <dcterms:modified xsi:type="dcterms:W3CDTF">2026-09-07T19:29:10Z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